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codeName="ThisWorkbook" hidePivotFieldList="1" defaultThemeVersion="124226"/>
  <mc:AlternateContent xmlns:mc="http://schemas.openxmlformats.org/markup-compatibility/2006">
    <mc:Choice Requires="x15">
      <x15ac:absPath xmlns:x15ac="http://schemas.microsoft.com/office/spreadsheetml/2010/11/ac" url="/Users/shakemill/Desktop/BGFI/"/>
    </mc:Choice>
  </mc:AlternateContent>
  <xr:revisionPtr revIDLastSave="0" documentId="13_ncr:1_{B112A21C-7FFB-3042-97BA-61D280D5CFB7}" xr6:coauthVersionLast="47" xr6:coauthVersionMax="47" xr10:uidLastSave="{00000000-0000-0000-0000-000000000000}"/>
  <bookViews>
    <workbookView xWindow="0" yWindow="500" windowWidth="28800" windowHeight="15840" tabRatio="847" xr2:uid="{00000000-000D-0000-FFFF-FFFF00000000}"/>
  </bookViews>
  <sheets>
    <sheet name="KPI Globale" sheetId="111" r:id="rId1"/>
    <sheet name="PLAN D'ACTION 2026" sheetId="102" state="hidden" r:id="rId2"/>
    <sheet name="BUDGET" sheetId="110" state="hidden" r:id="rId3"/>
    <sheet name="1. Janvier 2021 (2)" sheetId="85" state="hidden" r:id="rId4"/>
    <sheet name="Plan d'Améliorat° Process (PAP)" sheetId="1" state="hidden" r:id="rId5"/>
    <sheet name="RECAP indicateurs" sheetId="86" state="hidden" r:id="rId6"/>
    <sheet name="Synthèse PAP" sheetId="4" state="hidden" r:id="rId7"/>
  </sheets>
  <externalReferences>
    <externalReference r:id="rId8"/>
    <externalReference r:id="rId9"/>
    <externalReference r:id="rId10"/>
  </externalReferences>
  <definedNames>
    <definedName name="_xlnm._FilterDatabase" localSheetId="2" hidden="1">BUDGET!$A$7:$M$46</definedName>
    <definedName name="_xlnm._FilterDatabase" localSheetId="1" hidden="1">'PLAN D''ACTION 2026'!$A$8:$AE$95</definedName>
    <definedName name="_xlnm._FilterDatabase" localSheetId="4" hidden="1">'Plan d''Améliorat° Process (PAP)'!$A$7:$I$1912</definedName>
    <definedName name="_GoBack" localSheetId="3">'1. Janvier 2021 (2)'!$B$10</definedName>
    <definedName name="_GoBack" localSheetId="5">'RECAP indicateurs'!$B$10</definedName>
    <definedName name="_TAB1" localSheetId="3">#REF!</definedName>
    <definedName name="_TAB1" localSheetId="4">#REF!</definedName>
    <definedName name="_TAB1" localSheetId="5">#REF!</definedName>
    <definedName name="_TAB1">#REF!</definedName>
    <definedName name="_TAB10" localSheetId="3">#REF!</definedName>
    <definedName name="_TAB10" localSheetId="4">#REF!</definedName>
    <definedName name="_TAB10" localSheetId="5">#REF!</definedName>
    <definedName name="_TAB10">#REF!</definedName>
    <definedName name="_TAB11" localSheetId="3">#REF!</definedName>
    <definedName name="_TAB11" localSheetId="4">#REF!</definedName>
    <definedName name="_TAB11" localSheetId="5">#REF!</definedName>
    <definedName name="_TAB11">#REF!</definedName>
    <definedName name="_TAB15" localSheetId="3">#REF!</definedName>
    <definedName name="_TAB15" localSheetId="4">#REF!</definedName>
    <definedName name="_TAB15" localSheetId="5">#REF!</definedName>
    <definedName name="_TAB15">#REF!</definedName>
    <definedName name="_TAB16" localSheetId="3">#REF!</definedName>
    <definedName name="_TAB16" localSheetId="4">#REF!</definedName>
    <definedName name="_TAB16" localSheetId="5">#REF!</definedName>
    <definedName name="_TAB16">#REF!</definedName>
    <definedName name="_TAB2" localSheetId="3">#REF!</definedName>
    <definedName name="_TAB2" localSheetId="4">#REF!</definedName>
    <definedName name="_TAB2" localSheetId="5">#REF!</definedName>
    <definedName name="_TAB2">#REF!</definedName>
    <definedName name="_TAB3" localSheetId="3">#REF!</definedName>
    <definedName name="_TAB3" localSheetId="4">#REF!</definedName>
    <definedName name="_TAB3" localSheetId="5">#REF!</definedName>
    <definedName name="_TAB3">#REF!</definedName>
    <definedName name="_TAB4" localSheetId="3">#REF!</definedName>
    <definedName name="_TAB4" localSheetId="4">#REF!</definedName>
    <definedName name="_TAB4" localSheetId="5">#REF!</definedName>
    <definedName name="_TAB4">#REF!</definedName>
    <definedName name="_TAB5" localSheetId="3">#REF!</definedName>
    <definedName name="_TAB5" localSheetId="4">#REF!</definedName>
    <definedName name="_TAB5" localSheetId="5">#REF!</definedName>
    <definedName name="_TAB5">#REF!</definedName>
    <definedName name="_TAB6" localSheetId="3">#REF!</definedName>
    <definedName name="_TAB6" localSheetId="4">#REF!</definedName>
    <definedName name="_TAB6" localSheetId="5">#REF!</definedName>
    <definedName name="_TAB6">#REF!</definedName>
    <definedName name="_TAB7" localSheetId="3">#REF!</definedName>
    <definedName name="_TAB7" localSheetId="4">#REF!</definedName>
    <definedName name="_TAB7" localSheetId="5">#REF!</definedName>
    <definedName name="_TAB7">#REF!</definedName>
    <definedName name="_TAB8" localSheetId="3">#REF!</definedName>
    <definedName name="_TAB8" localSheetId="4">#REF!</definedName>
    <definedName name="_TAB8" localSheetId="5">#REF!</definedName>
    <definedName name="_TAB8">#REF!</definedName>
    <definedName name="_TAB9" localSheetId="3">#REF!</definedName>
    <definedName name="_TAB9" localSheetId="4">#REF!</definedName>
    <definedName name="_TAB9" localSheetId="5">#REF!</definedName>
    <definedName name="_TAB9">#REF!</definedName>
    <definedName name="e_1">'[1]MISE EN PLACE AUTOCONST.CMT'!$B$9</definedName>
    <definedName name="e_10">'[1]MISE EN PLACE AUTOCONST.CMT'!$K$9</definedName>
    <definedName name="e_11">'[1]MISE EN PLACE AUTOCONST.CMT'!$L$9</definedName>
    <definedName name="e_12">'[1]MISE EN PLACE AUTOCONST.CMT'!$M$9</definedName>
    <definedName name="e_13">'[1]MISE EN PLACE AUTOCONST.CMT'!$N$9</definedName>
    <definedName name="e_14">'[1]MISE EN PLACE AUTOCONST.CMT'!$O$9</definedName>
    <definedName name="e_2">'[1]MISE EN PLACE AUTOCONST.CMT'!$C$9</definedName>
    <definedName name="e_3">'[1]MISE EN PLACE AUTOCONST.CMT'!$D$9</definedName>
    <definedName name="e_4">'[1]MISE EN PLACE AUTOCONST.CMT'!$E$9</definedName>
    <definedName name="e_5">'[1]MISE EN PLACE AUTOCONST.CMT'!$F$9</definedName>
    <definedName name="e_6">'[1]MISE EN PLACE AUTOCONST.CMT'!$G$9</definedName>
    <definedName name="e_7">'[1]MISE EN PLACE AUTOCONST.CMT'!$H$9</definedName>
    <definedName name="e_8">'[1]MISE EN PLACE AUTOCONST.CMT'!$I$9</definedName>
    <definedName name="e_9">'[1]MISE EN PLACE AUTOCONST.CMT'!$J$9</definedName>
    <definedName name="Exercice">[2]Présentation!$B$3</definedName>
    <definedName name="_xlnm.Print_Titles" localSheetId="4">'Plan d''Améliorat° Process (PAP)'!$1:$7</definedName>
    <definedName name="m_13">'[1]MISE EN PLACE AUTOCONST.CMT'!$N$6</definedName>
    <definedName name="m_14">'[1]MISE EN PLACE AUTOCONST.CMT'!$O$6</definedName>
    <definedName name="m_15">'[1]MISE EN PLACE VOYAGE CCT'!$P$6</definedName>
    <definedName name="m_16">'[1]MISE EN PLACE VOYAGE CCT'!$Q$6</definedName>
    <definedName name="m_17">'[1]MISE EN PLACE VOYAGE CCT'!$R$6</definedName>
    <definedName name="m_18">'[1]MISE EN PLACE VOYAGE CCT'!$S$6</definedName>
    <definedName name="m_2">'[1]MISE EN PLACE AUTOCONST.CMT'!$C$6</definedName>
    <definedName name="m_3">'[1]MISE EN PLACE AUTOCONST.CMT'!$D$6</definedName>
    <definedName name="m_4">'[1]MISE EN PLACE AUTOCONST.CMT'!$E$6</definedName>
    <definedName name="m_5">'[1]MISE EN PLACE AUTOCONST.CMT'!$F$6</definedName>
    <definedName name="m_6">'[1]MISE EN PLACE AUTOCONST.CMT'!$G$6</definedName>
    <definedName name="m_7">'[1]MISE EN PLACE AUTOCONST.CMT'!$H$6</definedName>
    <definedName name="m_8">'[1]MISE EN PLACE AUTOCONST.CMT'!$I$6</definedName>
    <definedName name="m_9">'[1]MISE EN PLACE AUTOCONST.CMT'!$J$6</definedName>
    <definedName name="t_13">'[1]MISE EN PLACE AUTOCONST.CMT'!$N$7</definedName>
    <definedName name="t_2">'[1]MISE EN PLACE AUTOCONST.CMT'!$C$7</definedName>
    <definedName name="t_3">'[1]MISE EN PLACE AUTOCONST.CMT'!$D$7</definedName>
    <definedName name="t_4">'[1]MISE EN PLACE AUTOCONST.CMT'!$E$7</definedName>
    <definedName name="t_5">'[1]MISE EN PLACE AUTOCONST.CMT'!$F$7</definedName>
    <definedName name="t_6">'[1]MISE EN PLACE AUTOCONST.CMT'!$G$7</definedName>
    <definedName name="t_7">'[1]MISE EN PLACE AUTOCONST.CMT'!$H$7</definedName>
    <definedName name="t_8">'[1]MISE EN PLACE AUTOCONST.CMT'!$I$7</definedName>
    <definedName name="t_9">'[1]MISE EN PLACE AUTOCONST.CMT'!$J$7</definedName>
    <definedName name="TAB2BIS" localSheetId="3">#REF!</definedName>
    <definedName name="TAB2BIS" localSheetId="4">#REF!</definedName>
    <definedName name="TAB2BIS" localSheetId="5">#REF!</definedName>
    <definedName name="TAB2BIS">#REF!</definedName>
    <definedName name="TABLEAU_23___LE_MARCHE_BANCAIRE_PAR_PLACE" localSheetId="3">#REF!</definedName>
    <definedName name="TABLEAU_23___LE_MARCHE_BANCAIRE_PAR_PLACE" localSheetId="4">#REF!</definedName>
    <definedName name="TABLEAU_23___LE_MARCHE_BANCAIRE_PAR_PLACE" localSheetId="5">#REF!</definedName>
    <definedName name="TABLEAU_23___LE_MARCHE_BANCAIRE_PAR_PLACE">#REF!</definedName>
    <definedName name="TITRESTE">[3]Feuil1!$A$4</definedName>
    <definedName name="_xlnm.Print_Area" localSheetId="4">'Plan d''Améliorat° Process (PAP)'!$A$1:$I$47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11" l="1"/>
  <c r="AD6" i="102" l="1"/>
  <c r="AB6" i="102"/>
  <c r="Z6" i="102"/>
  <c r="X6" i="102"/>
  <c r="V6" i="102"/>
  <c r="T6" i="102"/>
  <c r="R6" i="102"/>
  <c r="P6" i="102"/>
  <c r="N6" i="102"/>
  <c r="L6" i="102" l="1"/>
  <c r="J6" i="102"/>
  <c r="H6" i="102"/>
  <c r="L35" i="110" l="1"/>
  <c r="L36" i="110"/>
  <c r="L37" i="110"/>
  <c r="L38" i="110"/>
  <c r="L39" i="110"/>
  <c r="L32" i="110" l="1"/>
  <c r="L31" i="110"/>
  <c r="L26" i="110"/>
  <c r="L27" i="110"/>
  <c r="L28" i="110"/>
  <c r="L24" i="110"/>
  <c r="L23" i="110"/>
  <c r="L18" i="110"/>
  <c r="L19" i="110"/>
  <c r="L15" i="110"/>
  <c r="L14" i="110"/>
  <c r="L8" i="110" l="1"/>
  <c r="L20" i="110"/>
  <c r="L30" i="110" l="1"/>
  <c r="L29" i="110"/>
  <c r="L46" i="110"/>
  <c r="L45" i="110"/>
  <c r="L44" i="110"/>
  <c r="L43" i="110"/>
  <c r="L42" i="110"/>
  <c r="L41" i="110"/>
  <c r="L40" i="110"/>
  <c r="L17" i="110"/>
  <c r="L12" i="110"/>
  <c r="L22" i="110"/>
  <c r="L21" i="110"/>
  <c r="L13" i="110"/>
  <c r="L25" i="110"/>
  <c r="L34" i="110"/>
  <c r="L16" i="110"/>
  <c r="L33" i="110"/>
  <c r="L11" i="110"/>
  <c r="L10" i="110"/>
  <c r="K4" i="110"/>
  <c r="L6" i="110" l="1"/>
  <c r="C4" i="102" l="1"/>
  <c r="F11" i="86" l="1"/>
  <c r="G11" i="86" s="1"/>
  <c r="F10" i="86"/>
  <c r="G10" i="86" s="1"/>
  <c r="F9" i="86"/>
  <c r="G9" i="86" s="1"/>
  <c r="F8" i="86"/>
  <c r="G8" i="86" s="1"/>
  <c r="G6" i="86" s="1"/>
  <c r="G1912" i="1"/>
  <c r="L1912" i="1" s="1"/>
  <c r="G1911" i="1"/>
  <c r="L1911" i="1" s="1"/>
  <c r="G1910" i="1"/>
  <c r="L1910" i="1" s="1"/>
  <c r="G1909" i="1"/>
  <c r="L1909" i="1" s="1"/>
  <c r="G1908" i="1"/>
  <c r="L1908" i="1" s="1"/>
  <c r="G1907" i="1"/>
  <c r="L1907" i="1" s="1"/>
  <c r="G1906" i="1"/>
  <c r="L1906" i="1" s="1"/>
  <c r="G1905" i="1"/>
  <c r="L1905" i="1" s="1"/>
  <c r="G1904" i="1"/>
  <c r="L1904" i="1" s="1"/>
  <c r="G1903" i="1"/>
  <c r="L1903" i="1" s="1"/>
  <c r="G1902" i="1"/>
  <c r="L1902" i="1" s="1"/>
  <c r="G1901" i="1"/>
  <c r="L1901" i="1" s="1"/>
  <c r="G1900" i="1"/>
  <c r="L1900" i="1" s="1"/>
  <c r="G1899" i="1"/>
  <c r="L1899" i="1" s="1"/>
  <c r="G1898" i="1"/>
  <c r="L1898" i="1" s="1"/>
  <c r="G1897" i="1"/>
  <c r="L1897" i="1" s="1"/>
  <c r="G1896" i="1"/>
  <c r="L1896" i="1" s="1"/>
  <c r="G1895" i="1"/>
  <c r="L1895" i="1" s="1"/>
  <c r="G1894" i="1"/>
  <c r="L1894" i="1" s="1"/>
  <c r="G1893" i="1"/>
  <c r="L1893" i="1" s="1"/>
  <c r="G1892" i="1"/>
  <c r="L1892" i="1" s="1"/>
  <c r="G1891" i="1"/>
  <c r="L1891" i="1" s="1"/>
  <c r="G1890" i="1"/>
  <c r="L1890" i="1" s="1"/>
  <c r="G1889" i="1"/>
  <c r="L1889" i="1" s="1"/>
  <c r="G1888" i="1"/>
  <c r="L1888" i="1" s="1"/>
  <c r="G1887" i="1"/>
  <c r="L1887" i="1" s="1"/>
  <c r="G1886" i="1"/>
  <c r="L1886" i="1" s="1"/>
  <c r="G1885" i="1"/>
  <c r="L1885" i="1" s="1"/>
  <c r="G1884" i="1"/>
  <c r="L1884" i="1" s="1"/>
  <c r="G1883" i="1"/>
  <c r="L1883" i="1" s="1"/>
  <c r="G1882" i="1"/>
  <c r="L1882" i="1" s="1"/>
  <c r="G1881" i="1"/>
  <c r="L1881" i="1" s="1"/>
  <c r="G1880" i="1"/>
  <c r="L1880" i="1" s="1"/>
  <c r="G1879" i="1"/>
  <c r="L1879" i="1" s="1"/>
  <c r="G1878" i="1"/>
  <c r="L1878" i="1" s="1"/>
  <c r="G1877" i="1"/>
  <c r="L1877" i="1" s="1"/>
  <c r="G1876" i="1"/>
  <c r="L1876" i="1" s="1"/>
  <c r="G1875" i="1"/>
  <c r="L1875" i="1" s="1"/>
  <c r="G1874" i="1"/>
  <c r="L1874" i="1" s="1"/>
  <c r="G1873" i="1"/>
  <c r="L1873" i="1" s="1"/>
  <c r="G1872" i="1"/>
  <c r="L1872" i="1" s="1"/>
  <c r="G1871" i="1"/>
  <c r="L1871" i="1" s="1"/>
  <c r="G1870" i="1"/>
  <c r="L1870" i="1" s="1"/>
  <c r="G1869" i="1"/>
  <c r="L1869" i="1" s="1"/>
  <c r="G1868" i="1"/>
  <c r="L1868" i="1" s="1"/>
  <c r="G1867" i="1"/>
  <c r="L1867" i="1" s="1"/>
  <c r="G1866" i="1"/>
  <c r="L1866" i="1" s="1"/>
  <c r="G1865" i="1"/>
  <c r="L1865" i="1" s="1"/>
  <c r="G1864" i="1"/>
  <c r="L1864" i="1" s="1"/>
  <c r="G1863" i="1"/>
  <c r="L1863" i="1" s="1"/>
  <c r="G1862" i="1"/>
  <c r="L1862" i="1" s="1"/>
  <c r="G1861" i="1"/>
  <c r="L1861" i="1" s="1"/>
  <c r="G1860" i="1"/>
  <c r="L1860" i="1" s="1"/>
  <c r="G1859" i="1"/>
  <c r="L1859" i="1" s="1"/>
  <c r="G1858" i="1"/>
  <c r="L1858" i="1" s="1"/>
  <c r="G1857" i="1"/>
  <c r="L1857" i="1" s="1"/>
  <c r="G1856" i="1"/>
  <c r="L1856" i="1" s="1"/>
  <c r="G1855" i="1"/>
  <c r="L1855" i="1" s="1"/>
  <c r="G1854" i="1"/>
  <c r="L1854" i="1" s="1"/>
  <c r="G1853" i="1"/>
  <c r="L1853" i="1" s="1"/>
  <c r="G1852" i="1"/>
  <c r="L1852" i="1" s="1"/>
  <c r="G1851" i="1"/>
  <c r="L1851" i="1" s="1"/>
  <c r="G1850" i="1"/>
  <c r="L1850" i="1" s="1"/>
  <c r="G1849" i="1"/>
  <c r="L1849" i="1" s="1"/>
  <c r="G1848" i="1"/>
  <c r="L1848" i="1" s="1"/>
  <c r="G1847" i="1"/>
  <c r="L1847" i="1" s="1"/>
  <c r="G1846" i="1"/>
  <c r="L1846" i="1" s="1"/>
  <c r="G1845" i="1"/>
  <c r="L1845" i="1" s="1"/>
  <c r="G1844" i="1"/>
  <c r="L1844" i="1" s="1"/>
  <c r="G1843" i="1"/>
  <c r="L1843" i="1" s="1"/>
  <c r="G1842" i="1"/>
  <c r="L1842" i="1" s="1"/>
  <c r="G1841" i="1"/>
  <c r="L1841" i="1" s="1"/>
  <c r="G1840" i="1"/>
  <c r="L1840" i="1" s="1"/>
  <c r="G1839" i="1"/>
  <c r="L1839" i="1" s="1"/>
  <c r="G1838" i="1"/>
  <c r="L1838" i="1" s="1"/>
  <c r="G1837" i="1"/>
  <c r="L1837" i="1" s="1"/>
  <c r="G1836" i="1"/>
  <c r="L1836" i="1" s="1"/>
  <c r="G1835" i="1"/>
  <c r="L1835" i="1" s="1"/>
  <c r="G1834" i="1"/>
  <c r="L1834" i="1" s="1"/>
  <c r="G1833" i="1"/>
  <c r="L1833" i="1" s="1"/>
  <c r="G1832" i="1"/>
  <c r="L1832" i="1" s="1"/>
  <c r="G1831" i="1"/>
  <c r="L1831" i="1" s="1"/>
  <c r="G1830" i="1"/>
  <c r="L1830" i="1" s="1"/>
  <c r="G1829" i="1"/>
  <c r="L1829" i="1" s="1"/>
  <c r="G1828" i="1"/>
  <c r="L1828" i="1" s="1"/>
  <c r="G1827" i="1"/>
  <c r="L1827" i="1" s="1"/>
  <c r="G1826" i="1"/>
  <c r="L1826" i="1" s="1"/>
  <c r="G1825" i="1"/>
  <c r="L1825" i="1" s="1"/>
  <c r="G1824" i="1"/>
  <c r="L1824" i="1" s="1"/>
  <c r="G1823" i="1"/>
  <c r="L1823" i="1" s="1"/>
  <c r="G1822" i="1"/>
  <c r="L1822" i="1" s="1"/>
  <c r="G1821" i="1"/>
  <c r="L1821" i="1" s="1"/>
  <c r="G1820" i="1"/>
  <c r="L1820" i="1" s="1"/>
  <c r="G1819" i="1"/>
  <c r="L1819" i="1" s="1"/>
  <c r="G1818" i="1"/>
  <c r="L1818" i="1" s="1"/>
  <c r="G1817" i="1"/>
  <c r="L1817" i="1" s="1"/>
  <c r="G1816" i="1"/>
  <c r="L1816" i="1" s="1"/>
  <c r="G1815" i="1"/>
  <c r="L1815" i="1" s="1"/>
  <c r="G1814" i="1"/>
  <c r="L1814" i="1" s="1"/>
  <c r="G1813" i="1"/>
  <c r="L1813" i="1" s="1"/>
  <c r="G1812" i="1"/>
  <c r="L1812" i="1" s="1"/>
  <c r="G1811" i="1"/>
  <c r="L1811" i="1" s="1"/>
  <c r="G1810" i="1"/>
  <c r="L1810" i="1" s="1"/>
  <c r="G1809" i="1"/>
  <c r="L1809" i="1" s="1"/>
  <c r="G1808" i="1"/>
  <c r="L1808" i="1" s="1"/>
  <c r="G1807" i="1"/>
  <c r="L1807" i="1" s="1"/>
  <c r="G1806" i="1"/>
  <c r="L1806" i="1" s="1"/>
  <c r="G1805" i="1"/>
  <c r="L1805" i="1" s="1"/>
  <c r="G1804" i="1"/>
  <c r="L1804" i="1" s="1"/>
  <c r="G1803" i="1"/>
  <c r="L1803" i="1" s="1"/>
  <c r="G1802" i="1"/>
  <c r="L1802" i="1" s="1"/>
  <c r="G1801" i="1"/>
  <c r="L1801" i="1" s="1"/>
  <c r="G1800" i="1"/>
  <c r="L1800" i="1" s="1"/>
  <c r="G1799" i="1"/>
  <c r="L1799" i="1" s="1"/>
  <c r="G1798" i="1"/>
  <c r="L1798" i="1" s="1"/>
  <c r="G1797" i="1"/>
  <c r="L1797" i="1" s="1"/>
  <c r="G1796" i="1"/>
  <c r="L1796" i="1" s="1"/>
  <c r="G1795" i="1"/>
  <c r="L1795" i="1" s="1"/>
  <c r="G1794" i="1"/>
  <c r="L1794" i="1" s="1"/>
  <c r="G1793" i="1"/>
  <c r="L1793" i="1" s="1"/>
  <c r="G1792" i="1"/>
  <c r="L1792" i="1" s="1"/>
  <c r="G1791" i="1"/>
  <c r="L1791" i="1" s="1"/>
  <c r="G1790" i="1"/>
  <c r="L1790" i="1" s="1"/>
  <c r="G1789" i="1"/>
  <c r="L1789" i="1" s="1"/>
  <c r="G1788" i="1"/>
  <c r="L1788" i="1" s="1"/>
  <c r="G1787" i="1"/>
  <c r="L1787" i="1" s="1"/>
  <c r="G1786" i="1"/>
  <c r="L1786" i="1" s="1"/>
  <c r="G1785" i="1"/>
  <c r="L1785" i="1" s="1"/>
  <c r="G1784" i="1"/>
  <c r="L1784" i="1" s="1"/>
  <c r="G1783" i="1"/>
  <c r="L1783" i="1" s="1"/>
  <c r="G1782" i="1"/>
  <c r="L1782" i="1" s="1"/>
  <c r="G1781" i="1"/>
  <c r="L1781" i="1" s="1"/>
  <c r="G1780" i="1"/>
  <c r="L1780" i="1" s="1"/>
  <c r="G1779" i="1"/>
  <c r="L1779" i="1" s="1"/>
  <c r="G1778" i="1"/>
  <c r="L1778" i="1" s="1"/>
  <c r="G1777" i="1"/>
  <c r="L1777" i="1" s="1"/>
  <c r="G1776" i="1"/>
  <c r="L1776" i="1" s="1"/>
  <c r="G1775" i="1"/>
  <c r="L1775" i="1" s="1"/>
  <c r="G1774" i="1"/>
  <c r="L1774" i="1" s="1"/>
  <c r="G1773" i="1"/>
  <c r="L1773" i="1" s="1"/>
  <c r="G1772" i="1"/>
  <c r="L1772" i="1" s="1"/>
  <c r="G1771" i="1"/>
  <c r="L1771" i="1" s="1"/>
  <c r="G1770" i="1"/>
  <c r="L1770" i="1" s="1"/>
  <c r="G1769" i="1"/>
  <c r="L1769" i="1" s="1"/>
  <c r="G1768" i="1"/>
  <c r="L1768" i="1" s="1"/>
  <c r="G1767" i="1"/>
  <c r="L1767" i="1" s="1"/>
  <c r="G1766" i="1"/>
  <c r="L1766" i="1" s="1"/>
  <c r="G1765" i="1"/>
  <c r="L1765" i="1" s="1"/>
  <c r="G1764" i="1"/>
  <c r="L1764" i="1" s="1"/>
  <c r="G1763" i="1"/>
  <c r="L1763" i="1" s="1"/>
  <c r="G1762" i="1"/>
  <c r="L1762" i="1" s="1"/>
  <c r="G1761" i="1"/>
  <c r="L1761" i="1" s="1"/>
  <c r="G1760" i="1"/>
  <c r="L1760" i="1" s="1"/>
  <c r="G1759" i="1"/>
  <c r="L1759" i="1" s="1"/>
  <c r="G1758" i="1"/>
  <c r="L1758" i="1" s="1"/>
  <c r="G1757" i="1"/>
  <c r="L1757" i="1" s="1"/>
  <c r="G1756" i="1"/>
  <c r="L1756" i="1" s="1"/>
  <c r="G1755" i="1"/>
  <c r="L1755" i="1" s="1"/>
  <c r="G1754" i="1"/>
  <c r="L1754" i="1" s="1"/>
  <c r="G1753" i="1"/>
  <c r="L1753" i="1" s="1"/>
  <c r="G1752" i="1"/>
  <c r="L1752" i="1" s="1"/>
  <c r="G1751" i="1"/>
  <c r="L1751" i="1" s="1"/>
  <c r="G1750" i="1"/>
  <c r="L1750" i="1" s="1"/>
  <c r="G1749" i="1"/>
  <c r="L1749" i="1" s="1"/>
  <c r="G1748" i="1"/>
  <c r="L1748" i="1" s="1"/>
  <c r="G1747" i="1"/>
  <c r="L1747" i="1" s="1"/>
  <c r="G1746" i="1"/>
  <c r="L1746" i="1" s="1"/>
  <c r="G1745" i="1"/>
  <c r="L1745" i="1" s="1"/>
  <c r="G1744" i="1"/>
  <c r="L1744" i="1" s="1"/>
  <c r="G1743" i="1"/>
  <c r="L1743" i="1" s="1"/>
  <c r="G1742" i="1"/>
  <c r="L1742" i="1" s="1"/>
  <c r="G1741" i="1"/>
  <c r="L1741" i="1" s="1"/>
  <c r="G1740" i="1"/>
  <c r="L1740" i="1" s="1"/>
  <c r="G1739" i="1"/>
  <c r="L1739" i="1" s="1"/>
  <c r="G1738" i="1"/>
  <c r="L1738" i="1" s="1"/>
  <c r="G1737" i="1"/>
  <c r="L1737" i="1" s="1"/>
  <c r="G1736" i="1"/>
  <c r="L1736" i="1" s="1"/>
  <c r="G1735" i="1"/>
  <c r="L1735" i="1" s="1"/>
  <c r="G1734" i="1"/>
  <c r="L1734" i="1" s="1"/>
  <c r="G1733" i="1"/>
  <c r="L1733" i="1" s="1"/>
  <c r="G1732" i="1"/>
  <c r="L1732" i="1" s="1"/>
  <c r="G1731" i="1"/>
  <c r="L1731" i="1" s="1"/>
  <c r="G1730" i="1"/>
  <c r="L1730" i="1" s="1"/>
  <c r="G1729" i="1"/>
  <c r="L1729" i="1" s="1"/>
  <c r="G1728" i="1"/>
  <c r="L1728" i="1" s="1"/>
  <c r="G1727" i="1"/>
  <c r="L1727" i="1" s="1"/>
  <c r="G1726" i="1"/>
  <c r="L1726" i="1" s="1"/>
  <c r="G1725" i="1"/>
  <c r="L1725" i="1" s="1"/>
  <c r="G1724" i="1"/>
  <c r="L1724" i="1" s="1"/>
  <c r="G1723" i="1"/>
  <c r="L1723" i="1" s="1"/>
  <c r="G1722" i="1"/>
  <c r="L1722" i="1" s="1"/>
  <c r="G1721" i="1"/>
  <c r="L1721" i="1" s="1"/>
  <c r="G1720" i="1"/>
  <c r="L1720" i="1" s="1"/>
  <c r="G1719" i="1"/>
  <c r="L1719" i="1" s="1"/>
  <c r="G1718" i="1"/>
  <c r="L1718" i="1" s="1"/>
  <c r="G1717" i="1"/>
  <c r="L1717" i="1" s="1"/>
  <c r="G1716" i="1"/>
  <c r="L1716" i="1" s="1"/>
  <c r="G1715" i="1"/>
  <c r="L1715" i="1" s="1"/>
  <c r="G1714" i="1"/>
  <c r="L1714" i="1" s="1"/>
  <c r="G1713" i="1"/>
  <c r="L1713" i="1" s="1"/>
  <c r="G1712" i="1"/>
  <c r="L1712" i="1" s="1"/>
  <c r="G1711" i="1"/>
  <c r="L1711" i="1" s="1"/>
  <c r="G1710" i="1"/>
  <c r="L1710" i="1" s="1"/>
  <c r="G1709" i="1"/>
  <c r="L1709" i="1" s="1"/>
  <c r="G1708" i="1"/>
  <c r="L1708" i="1" s="1"/>
  <c r="G1707" i="1"/>
  <c r="L1707" i="1" s="1"/>
  <c r="G1706" i="1"/>
  <c r="L1706" i="1" s="1"/>
  <c r="G1705" i="1"/>
  <c r="L1705" i="1" s="1"/>
  <c r="G1704" i="1"/>
  <c r="L1704" i="1" s="1"/>
  <c r="G1703" i="1"/>
  <c r="L1703" i="1" s="1"/>
  <c r="G1702" i="1"/>
  <c r="L1702" i="1" s="1"/>
  <c r="G1701" i="1"/>
  <c r="L1701" i="1" s="1"/>
  <c r="G1700" i="1"/>
  <c r="L1700" i="1" s="1"/>
  <c r="G1699" i="1"/>
  <c r="L1699" i="1" s="1"/>
  <c r="G1698" i="1"/>
  <c r="L1698" i="1" s="1"/>
  <c r="G1697" i="1"/>
  <c r="L1697" i="1" s="1"/>
  <c r="G1696" i="1"/>
  <c r="L1696" i="1" s="1"/>
  <c r="G1695" i="1"/>
  <c r="L1695" i="1" s="1"/>
  <c r="G1694" i="1"/>
  <c r="L1694" i="1" s="1"/>
  <c r="G1693" i="1"/>
  <c r="L1693" i="1" s="1"/>
  <c r="G1692" i="1"/>
  <c r="L1692" i="1" s="1"/>
  <c r="G1691" i="1"/>
  <c r="L1691" i="1" s="1"/>
  <c r="G1690" i="1"/>
  <c r="L1690" i="1" s="1"/>
  <c r="G1689" i="1"/>
  <c r="L1689" i="1" s="1"/>
  <c r="G1688" i="1"/>
  <c r="L1688" i="1" s="1"/>
  <c r="G1687" i="1"/>
  <c r="L1687" i="1" s="1"/>
  <c r="G1686" i="1"/>
  <c r="L1686" i="1" s="1"/>
  <c r="G1685" i="1"/>
  <c r="L1685" i="1" s="1"/>
  <c r="G1684" i="1"/>
  <c r="L1684" i="1" s="1"/>
  <c r="G1683" i="1"/>
  <c r="L1683" i="1" s="1"/>
  <c r="G1682" i="1"/>
  <c r="L1682" i="1" s="1"/>
  <c r="G1681" i="1"/>
  <c r="L1681" i="1" s="1"/>
  <c r="G1680" i="1"/>
  <c r="L1680" i="1" s="1"/>
  <c r="G1679" i="1"/>
  <c r="L1679" i="1" s="1"/>
  <c r="G1678" i="1"/>
  <c r="L1678" i="1" s="1"/>
  <c r="G1677" i="1"/>
  <c r="L1677" i="1" s="1"/>
  <c r="G1676" i="1"/>
  <c r="L1676" i="1" s="1"/>
  <c r="G1675" i="1"/>
  <c r="L1675" i="1" s="1"/>
  <c r="G1674" i="1"/>
  <c r="L1674" i="1" s="1"/>
  <c r="G1673" i="1"/>
  <c r="L1673" i="1" s="1"/>
  <c r="G1672" i="1"/>
  <c r="L1672" i="1" s="1"/>
  <c r="G1671" i="1"/>
  <c r="L1671" i="1" s="1"/>
  <c r="G1670" i="1"/>
  <c r="L1670" i="1" s="1"/>
  <c r="G1669" i="1"/>
  <c r="L1669" i="1" s="1"/>
  <c r="G1668" i="1"/>
  <c r="L1668" i="1" s="1"/>
  <c r="G1667" i="1"/>
  <c r="L1667" i="1" s="1"/>
  <c r="G1666" i="1"/>
  <c r="L1666" i="1" s="1"/>
  <c r="G1665" i="1"/>
  <c r="L1665" i="1" s="1"/>
  <c r="G1664" i="1"/>
  <c r="L1664" i="1" s="1"/>
  <c r="G1663" i="1"/>
  <c r="L1663" i="1" s="1"/>
  <c r="G1662" i="1"/>
  <c r="L1662" i="1" s="1"/>
  <c r="G1661" i="1"/>
  <c r="L1661" i="1" s="1"/>
  <c r="G1660" i="1"/>
  <c r="L1660" i="1" s="1"/>
  <c r="G1659" i="1"/>
  <c r="L1659" i="1" s="1"/>
  <c r="G1658" i="1"/>
  <c r="L1658" i="1" s="1"/>
  <c r="G1657" i="1"/>
  <c r="L1657" i="1" s="1"/>
  <c r="G1656" i="1"/>
  <c r="L1656" i="1" s="1"/>
  <c r="G1655" i="1"/>
  <c r="L1655" i="1" s="1"/>
  <c r="G1654" i="1"/>
  <c r="L1654" i="1" s="1"/>
  <c r="G1653" i="1"/>
  <c r="L1653" i="1" s="1"/>
  <c r="G1652" i="1"/>
  <c r="L1652" i="1" s="1"/>
  <c r="G1651" i="1"/>
  <c r="L1651" i="1" s="1"/>
  <c r="G1650" i="1"/>
  <c r="L1650" i="1" s="1"/>
  <c r="G1649" i="1"/>
  <c r="L1649" i="1" s="1"/>
  <c r="G1648" i="1"/>
  <c r="L1648" i="1" s="1"/>
  <c r="G1647" i="1"/>
  <c r="L1647" i="1" s="1"/>
  <c r="G1646" i="1"/>
  <c r="L1646" i="1" s="1"/>
  <c r="G1645" i="1"/>
  <c r="L1645" i="1" s="1"/>
  <c r="G1644" i="1"/>
  <c r="L1644" i="1" s="1"/>
  <c r="G1643" i="1"/>
  <c r="L1643" i="1" s="1"/>
  <c r="G1642" i="1"/>
  <c r="L1642" i="1" s="1"/>
  <c r="G1641" i="1"/>
  <c r="L1641" i="1" s="1"/>
  <c r="G1640" i="1"/>
  <c r="L1640" i="1" s="1"/>
  <c r="G1639" i="1"/>
  <c r="L1639" i="1" s="1"/>
  <c r="G1638" i="1"/>
  <c r="L1638" i="1" s="1"/>
  <c r="G1637" i="1"/>
  <c r="L1637" i="1" s="1"/>
  <c r="G1636" i="1"/>
  <c r="L1636" i="1" s="1"/>
  <c r="G1635" i="1"/>
  <c r="L1635" i="1" s="1"/>
  <c r="G1634" i="1"/>
  <c r="L1634" i="1" s="1"/>
  <c r="G1633" i="1"/>
  <c r="L1633" i="1" s="1"/>
  <c r="G1632" i="1"/>
  <c r="L1632" i="1" s="1"/>
  <c r="G1631" i="1"/>
  <c r="L1631" i="1" s="1"/>
  <c r="G1630" i="1"/>
  <c r="L1630" i="1" s="1"/>
  <c r="G1629" i="1"/>
  <c r="L1629" i="1" s="1"/>
  <c r="G1628" i="1"/>
  <c r="L1628" i="1" s="1"/>
  <c r="G1627" i="1"/>
  <c r="L1627" i="1" s="1"/>
  <c r="G1626" i="1"/>
  <c r="L1626" i="1" s="1"/>
  <c r="G1625" i="1"/>
  <c r="L1625" i="1" s="1"/>
  <c r="G1624" i="1"/>
  <c r="L1624" i="1" s="1"/>
  <c r="G1623" i="1"/>
  <c r="L1623" i="1" s="1"/>
  <c r="G1622" i="1"/>
  <c r="L1622" i="1" s="1"/>
  <c r="G1621" i="1"/>
  <c r="L1621" i="1" s="1"/>
  <c r="G1620" i="1"/>
  <c r="L1620" i="1" s="1"/>
  <c r="G1619" i="1"/>
  <c r="L1619" i="1" s="1"/>
  <c r="G1618" i="1"/>
  <c r="L1618" i="1" s="1"/>
  <c r="G1617" i="1"/>
  <c r="L1617" i="1" s="1"/>
  <c r="G1616" i="1"/>
  <c r="L1616" i="1" s="1"/>
  <c r="G1615" i="1"/>
  <c r="L1615" i="1" s="1"/>
  <c r="G1614" i="1"/>
  <c r="L1614" i="1" s="1"/>
  <c r="G1613" i="1"/>
  <c r="L1613" i="1" s="1"/>
  <c r="G1612" i="1"/>
  <c r="L1612" i="1" s="1"/>
  <c r="G1611" i="1"/>
  <c r="L1611" i="1" s="1"/>
  <c r="G1610" i="1"/>
  <c r="L1610" i="1" s="1"/>
  <c r="G1609" i="1"/>
  <c r="L1609" i="1" s="1"/>
  <c r="G1608" i="1"/>
  <c r="L1608" i="1" s="1"/>
  <c r="G1607" i="1"/>
  <c r="L1607" i="1" s="1"/>
  <c r="G1606" i="1"/>
  <c r="L1606" i="1" s="1"/>
  <c r="G1605" i="1"/>
  <c r="L1605" i="1" s="1"/>
  <c r="G1604" i="1"/>
  <c r="L1604" i="1" s="1"/>
  <c r="G1603" i="1"/>
  <c r="L1603" i="1" s="1"/>
  <c r="G1602" i="1"/>
  <c r="L1602" i="1" s="1"/>
  <c r="G1601" i="1"/>
  <c r="L1601" i="1" s="1"/>
  <c r="G1600" i="1"/>
  <c r="L1600" i="1" s="1"/>
  <c r="G1599" i="1"/>
  <c r="L1599" i="1" s="1"/>
  <c r="G1598" i="1"/>
  <c r="L1598" i="1" s="1"/>
  <c r="G1597" i="1"/>
  <c r="L1597" i="1" s="1"/>
  <c r="G1596" i="1"/>
  <c r="L1596" i="1" s="1"/>
  <c r="G1595" i="1"/>
  <c r="L1595" i="1" s="1"/>
  <c r="G1594" i="1"/>
  <c r="L1594" i="1" s="1"/>
  <c r="G1593" i="1"/>
  <c r="L1593" i="1" s="1"/>
  <c r="G1592" i="1"/>
  <c r="L1592" i="1" s="1"/>
  <c r="G1591" i="1"/>
  <c r="L1591" i="1" s="1"/>
  <c r="G1590" i="1"/>
  <c r="L1590" i="1" s="1"/>
  <c r="G1589" i="1"/>
  <c r="L1589" i="1" s="1"/>
  <c r="G1588" i="1"/>
  <c r="L1588" i="1" s="1"/>
  <c r="G1587" i="1"/>
  <c r="L1587" i="1" s="1"/>
  <c r="G1586" i="1"/>
  <c r="L1586" i="1" s="1"/>
  <c r="G1585" i="1"/>
  <c r="L1585" i="1" s="1"/>
  <c r="G1584" i="1"/>
  <c r="L1584" i="1" s="1"/>
  <c r="G1583" i="1"/>
  <c r="L1583" i="1" s="1"/>
  <c r="G1582" i="1"/>
  <c r="L1582" i="1" s="1"/>
  <c r="G1581" i="1"/>
  <c r="L1581" i="1" s="1"/>
  <c r="G1580" i="1"/>
  <c r="L1580" i="1" s="1"/>
  <c r="G1579" i="1"/>
  <c r="L1579" i="1" s="1"/>
  <c r="G1578" i="1"/>
  <c r="L1578" i="1" s="1"/>
  <c r="G1577" i="1"/>
  <c r="L1577" i="1" s="1"/>
  <c r="G1576" i="1"/>
  <c r="L1576" i="1" s="1"/>
  <c r="G1575" i="1"/>
  <c r="L1575" i="1" s="1"/>
  <c r="G1574" i="1"/>
  <c r="L1574" i="1" s="1"/>
  <c r="G1573" i="1"/>
  <c r="L1573" i="1" s="1"/>
  <c r="G1572" i="1"/>
  <c r="L1572" i="1" s="1"/>
  <c r="G1571" i="1"/>
  <c r="L1571" i="1" s="1"/>
  <c r="G1570" i="1"/>
  <c r="L1570" i="1" s="1"/>
  <c r="G1569" i="1"/>
  <c r="L1569" i="1" s="1"/>
  <c r="G1568" i="1"/>
  <c r="L1568" i="1" s="1"/>
  <c r="G1567" i="1"/>
  <c r="L1567" i="1" s="1"/>
  <c r="G1566" i="1"/>
  <c r="L1566" i="1" s="1"/>
  <c r="G1565" i="1"/>
  <c r="L1565" i="1" s="1"/>
  <c r="G1564" i="1"/>
  <c r="L1564" i="1" s="1"/>
  <c r="G1563" i="1"/>
  <c r="L1563" i="1" s="1"/>
  <c r="G1562" i="1"/>
  <c r="L1562" i="1" s="1"/>
  <c r="G1561" i="1"/>
  <c r="L1561" i="1" s="1"/>
  <c r="G1560" i="1"/>
  <c r="L1560" i="1" s="1"/>
  <c r="G1559" i="1"/>
  <c r="L1559" i="1" s="1"/>
  <c r="G1558" i="1"/>
  <c r="L1558" i="1" s="1"/>
  <c r="G1557" i="1"/>
  <c r="L1557" i="1" s="1"/>
  <c r="G1556" i="1"/>
  <c r="L1556" i="1" s="1"/>
  <c r="G1555" i="1"/>
  <c r="L1555" i="1" s="1"/>
  <c r="G1554" i="1"/>
  <c r="L1554" i="1" s="1"/>
  <c r="G1553" i="1"/>
  <c r="L1553" i="1" s="1"/>
  <c r="G1552" i="1"/>
  <c r="L1552" i="1" s="1"/>
  <c r="G1551" i="1"/>
  <c r="L1551" i="1" s="1"/>
  <c r="G1550" i="1"/>
  <c r="L1550" i="1" s="1"/>
  <c r="G1549" i="1"/>
  <c r="L1549" i="1" s="1"/>
  <c r="G1548" i="1"/>
  <c r="L1548" i="1" s="1"/>
  <c r="G1547" i="1"/>
  <c r="L1547" i="1" s="1"/>
  <c r="G1546" i="1"/>
  <c r="L1546" i="1" s="1"/>
  <c r="G1545" i="1"/>
  <c r="L1545" i="1" s="1"/>
  <c r="G1544" i="1"/>
  <c r="L1544" i="1" s="1"/>
  <c r="G1543" i="1"/>
  <c r="L1543" i="1" s="1"/>
  <c r="G1542" i="1"/>
  <c r="L1542" i="1" s="1"/>
  <c r="G1541" i="1"/>
  <c r="L1541" i="1" s="1"/>
  <c r="G1540" i="1"/>
  <c r="L1540" i="1" s="1"/>
  <c r="G1539" i="1"/>
  <c r="L1539" i="1" s="1"/>
  <c r="G1538" i="1"/>
  <c r="L1538" i="1" s="1"/>
  <c r="G1537" i="1"/>
  <c r="L1537" i="1" s="1"/>
  <c r="G1536" i="1"/>
  <c r="L1536" i="1" s="1"/>
  <c r="G1535" i="1"/>
  <c r="L1535" i="1" s="1"/>
  <c r="G1534" i="1"/>
  <c r="L1534" i="1" s="1"/>
  <c r="G1533" i="1"/>
  <c r="L1533" i="1" s="1"/>
  <c r="G1532" i="1"/>
  <c r="L1532" i="1" s="1"/>
  <c r="G1531" i="1"/>
  <c r="L1531" i="1" s="1"/>
  <c r="G1530" i="1"/>
  <c r="L1530" i="1" s="1"/>
  <c r="G1529" i="1"/>
  <c r="L1529" i="1" s="1"/>
  <c r="G1528" i="1"/>
  <c r="L1528" i="1" s="1"/>
  <c r="G1527" i="1"/>
  <c r="L1527" i="1" s="1"/>
  <c r="G1526" i="1"/>
  <c r="L1526" i="1" s="1"/>
  <c r="G1525" i="1"/>
  <c r="L1525" i="1" s="1"/>
  <c r="G1524" i="1"/>
  <c r="L1524" i="1" s="1"/>
  <c r="G1523" i="1"/>
  <c r="L1523" i="1" s="1"/>
  <c r="G1522" i="1"/>
  <c r="L1522" i="1" s="1"/>
  <c r="G1521" i="1"/>
  <c r="L1521" i="1" s="1"/>
  <c r="G1520" i="1"/>
  <c r="L1520" i="1" s="1"/>
  <c r="G1519" i="1"/>
  <c r="L1519" i="1" s="1"/>
  <c r="G1518" i="1"/>
  <c r="L1518" i="1" s="1"/>
  <c r="G1517" i="1"/>
  <c r="L1517" i="1" s="1"/>
  <c r="G1516" i="1"/>
  <c r="L1516" i="1" s="1"/>
  <c r="G1515" i="1"/>
  <c r="L1515" i="1" s="1"/>
  <c r="G1514" i="1"/>
  <c r="L1514" i="1" s="1"/>
  <c r="G1513" i="1"/>
  <c r="L1513" i="1" s="1"/>
  <c r="G1512" i="1"/>
  <c r="L1512" i="1" s="1"/>
  <c r="G1511" i="1"/>
  <c r="L1511" i="1" s="1"/>
  <c r="G1510" i="1"/>
  <c r="L1510" i="1" s="1"/>
  <c r="G1509" i="1"/>
  <c r="L1509" i="1" s="1"/>
  <c r="G1508" i="1"/>
  <c r="L1508" i="1" s="1"/>
  <c r="G1507" i="1"/>
  <c r="L1507" i="1" s="1"/>
  <c r="G1506" i="1"/>
  <c r="L1506" i="1" s="1"/>
  <c r="G1505" i="1"/>
  <c r="L1505" i="1" s="1"/>
  <c r="G1504" i="1"/>
  <c r="L1504" i="1" s="1"/>
  <c r="G1503" i="1"/>
  <c r="L1503" i="1" s="1"/>
  <c r="G1502" i="1"/>
  <c r="L1502" i="1" s="1"/>
  <c r="G1501" i="1"/>
  <c r="L1501" i="1" s="1"/>
  <c r="G1500" i="1"/>
  <c r="L1500" i="1" s="1"/>
  <c r="G1499" i="1"/>
  <c r="L1499" i="1" s="1"/>
  <c r="G1498" i="1"/>
  <c r="L1498" i="1" s="1"/>
  <c r="G1497" i="1"/>
  <c r="L1497" i="1" s="1"/>
  <c r="G1496" i="1"/>
  <c r="L1496" i="1" s="1"/>
  <c r="G1495" i="1"/>
  <c r="L1495" i="1" s="1"/>
  <c r="G1494" i="1"/>
  <c r="L1494" i="1" s="1"/>
  <c r="G1493" i="1"/>
  <c r="L1493" i="1" s="1"/>
  <c r="G1492" i="1"/>
  <c r="L1492" i="1" s="1"/>
  <c r="G1491" i="1"/>
  <c r="L1491" i="1" s="1"/>
  <c r="G1490" i="1"/>
  <c r="L1490" i="1" s="1"/>
  <c r="G1489" i="1"/>
  <c r="L1489" i="1" s="1"/>
  <c r="G1488" i="1"/>
  <c r="L1488" i="1" s="1"/>
  <c r="G1487" i="1"/>
  <c r="L1487" i="1" s="1"/>
  <c r="G1486" i="1"/>
  <c r="L1486" i="1" s="1"/>
  <c r="G1485" i="1"/>
  <c r="L1485" i="1" s="1"/>
  <c r="G1484" i="1"/>
  <c r="L1484" i="1" s="1"/>
  <c r="G1483" i="1"/>
  <c r="L1483" i="1" s="1"/>
  <c r="G1482" i="1"/>
  <c r="L1482" i="1" s="1"/>
  <c r="G1481" i="1"/>
  <c r="L1481" i="1" s="1"/>
  <c r="G1480" i="1"/>
  <c r="L1480" i="1" s="1"/>
  <c r="G1479" i="1"/>
  <c r="L1479" i="1" s="1"/>
  <c r="G1478" i="1"/>
  <c r="L1478" i="1" s="1"/>
  <c r="G1477" i="1"/>
  <c r="L1477" i="1" s="1"/>
  <c r="G1476" i="1"/>
  <c r="L1476" i="1" s="1"/>
  <c r="G1475" i="1"/>
  <c r="L1475" i="1" s="1"/>
  <c r="G1474" i="1"/>
  <c r="L1474" i="1" s="1"/>
  <c r="G1473" i="1"/>
  <c r="L1473" i="1" s="1"/>
  <c r="G1472" i="1"/>
  <c r="L1472" i="1" s="1"/>
  <c r="G1471" i="1"/>
  <c r="L1471" i="1" s="1"/>
  <c r="G1470" i="1"/>
  <c r="L1470" i="1" s="1"/>
  <c r="G1469" i="1"/>
  <c r="L1469" i="1" s="1"/>
  <c r="G1468" i="1"/>
  <c r="L1468" i="1" s="1"/>
  <c r="G1467" i="1"/>
  <c r="L1467" i="1" s="1"/>
  <c r="G1466" i="1"/>
  <c r="L1466" i="1" s="1"/>
  <c r="G1465" i="1"/>
  <c r="L1465" i="1" s="1"/>
  <c r="G1464" i="1"/>
  <c r="L1464" i="1" s="1"/>
  <c r="G1463" i="1"/>
  <c r="L1463" i="1" s="1"/>
  <c r="G1462" i="1"/>
  <c r="L1462" i="1" s="1"/>
  <c r="G1461" i="1"/>
  <c r="L1461" i="1" s="1"/>
  <c r="G1460" i="1"/>
  <c r="L1460" i="1" s="1"/>
  <c r="G1459" i="1"/>
  <c r="L1459" i="1" s="1"/>
  <c r="G1458" i="1"/>
  <c r="L1458" i="1" s="1"/>
  <c r="G1457" i="1"/>
  <c r="L1457" i="1" s="1"/>
  <c r="G1456" i="1"/>
  <c r="L1456" i="1" s="1"/>
  <c r="G1455" i="1"/>
  <c r="L1455" i="1" s="1"/>
  <c r="G1454" i="1"/>
  <c r="L1454" i="1" s="1"/>
  <c r="G1453" i="1"/>
  <c r="L1453" i="1" s="1"/>
  <c r="G1452" i="1"/>
  <c r="L1452" i="1" s="1"/>
  <c r="G1451" i="1"/>
  <c r="L1451" i="1" s="1"/>
  <c r="G1450" i="1"/>
  <c r="L1450" i="1" s="1"/>
  <c r="G1449" i="1"/>
  <c r="L1449" i="1" s="1"/>
  <c r="G1448" i="1"/>
  <c r="L1448" i="1" s="1"/>
  <c r="G1447" i="1"/>
  <c r="L1447" i="1" s="1"/>
  <c r="G1446" i="1"/>
  <c r="L1446" i="1" s="1"/>
  <c r="G1445" i="1"/>
  <c r="L1445" i="1" s="1"/>
  <c r="G1444" i="1"/>
  <c r="L1444" i="1" s="1"/>
  <c r="G1443" i="1"/>
  <c r="L1443" i="1" s="1"/>
  <c r="G1442" i="1"/>
  <c r="L1442" i="1" s="1"/>
  <c r="G1441" i="1"/>
  <c r="L1441" i="1" s="1"/>
  <c r="G1440" i="1"/>
  <c r="L1440" i="1" s="1"/>
  <c r="G1439" i="1"/>
  <c r="L1439" i="1" s="1"/>
  <c r="G1438" i="1"/>
  <c r="L1438" i="1" s="1"/>
  <c r="G1437" i="1"/>
  <c r="L1437" i="1" s="1"/>
  <c r="G1436" i="1"/>
  <c r="L1436" i="1" s="1"/>
  <c r="G1435" i="1"/>
  <c r="L1435" i="1" s="1"/>
  <c r="G1434" i="1"/>
  <c r="L1434" i="1" s="1"/>
  <c r="G1433" i="1"/>
  <c r="L1433" i="1" s="1"/>
  <c r="G1432" i="1"/>
  <c r="L1432" i="1" s="1"/>
  <c r="G1431" i="1"/>
  <c r="L1431" i="1" s="1"/>
  <c r="G1430" i="1"/>
  <c r="L1430" i="1" s="1"/>
  <c r="G1429" i="1"/>
  <c r="L1429" i="1" s="1"/>
  <c r="G1428" i="1"/>
  <c r="L1428" i="1" s="1"/>
  <c r="G1427" i="1"/>
  <c r="L1427" i="1" s="1"/>
  <c r="G1426" i="1"/>
  <c r="L1426" i="1" s="1"/>
  <c r="G1425" i="1"/>
  <c r="L1425" i="1" s="1"/>
  <c r="G1424" i="1"/>
  <c r="L1424" i="1" s="1"/>
  <c r="G1423" i="1"/>
  <c r="L1423" i="1" s="1"/>
  <c r="G1422" i="1"/>
  <c r="L1422" i="1" s="1"/>
  <c r="G1421" i="1"/>
  <c r="L1421" i="1" s="1"/>
  <c r="G1420" i="1"/>
  <c r="L1420" i="1" s="1"/>
  <c r="G1419" i="1"/>
  <c r="L1419" i="1" s="1"/>
  <c r="G1418" i="1"/>
  <c r="L1418" i="1" s="1"/>
  <c r="G1417" i="1"/>
  <c r="L1417" i="1" s="1"/>
  <c r="G1416" i="1"/>
  <c r="L1416" i="1" s="1"/>
  <c r="G1415" i="1"/>
  <c r="L1415" i="1" s="1"/>
  <c r="G1414" i="1"/>
  <c r="L1414" i="1" s="1"/>
  <c r="G1413" i="1"/>
  <c r="L1413" i="1" s="1"/>
  <c r="G1412" i="1"/>
  <c r="L1412" i="1" s="1"/>
  <c r="G1411" i="1"/>
  <c r="L1411" i="1" s="1"/>
  <c r="G1410" i="1"/>
  <c r="L1410" i="1" s="1"/>
  <c r="G1409" i="1"/>
  <c r="L1409" i="1" s="1"/>
  <c r="G1408" i="1"/>
  <c r="L1408" i="1" s="1"/>
  <c r="G1407" i="1"/>
  <c r="L1407" i="1" s="1"/>
  <c r="G1406" i="1"/>
  <c r="L1406" i="1" s="1"/>
  <c r="G1405" i="1"/>
  <c r="L1405" i="1" s="1"/>
  <c r="G1404" i="1"/>
  <c r="L1404" i="1" s="1"/>
  <c r="G1403" i="1"/>
  <c r="L1403" i="1" s="1"/>
  <c r="G1402" i="1"/>
  <c r="L1402" i="1" s="1"/>
  <c r="G1401" i="1"/>
  <c r="L1401" i="1" s="1"/>
  <c r="G1400" i="1"/>
  <c r="L1400" i="1" s="1"/>
  <c r="G1399" i="1"/>
  <c r="L1399" i="1" s="1"/>
  <c r="G1398" i="1"/>
  <c r="L1398" i="1" s="1"/>
  <c r="G1397" i="1"/>
  <c r="L1397" i="1" s="1"/>
  <c r="G1396" i="1"/>
  <c r="L1396" i="1" s="1"/>
  <c r="G1395" i="1"/>
  <c r="L1395" i="1" s="1"/>
  <c r="G1394" i="1"/>
  <c r="L1394" i="1" s="1"/>
  <c r="G1393" i="1"/>
  <c r="L1393" i="1" s="1"/>
  <c r="G1392" i="1"/>
  <c r="L1392" i="1" s="1"/>
  <c r="G1391" i="1"/>
  <c r="L1391" i="1" s="1"/>
  <c r="G1390" i="1"/>
  <c r="L1390" i="1" s="1"/>
  <c r="G1389" i="1"/>
  <c r="L1389" i="1" s="1"/>
  <c r="G1388" i="1"/>
  <c r="L1388" i="1" s="1"/>
  <c r="G1387" i="1"/>
  <c r="L1387" i="1" s="1"/>
  <c r="G1386" i="1"/>
  <c r="L1386" i="1" s="1"/>
  <c r="G1385" i="1"/>
  <c r="L1385" i="1" s="1"/>
  <c r="G1384" i="1"/>
  <c r="L1384" i="1" s="1"/>
  <c r="G1383" i="1"/>
  <c r="L1383" i="1" s="1"/>
  <c r="G1382" i="1"/>
  <c r="L1382" i="1" s="1"/>
  <c r="G1381" i="1"/>
  <c r="L1381" i="1" s="1"/>
  <c r="G1380" i="1"/>
  <c r="L1380" i="1" s="1"/>
  <c r="G1379" i="1"/>
  <c r="L1379" i="1" s="1"/>
  <c r="G1378" i="1"/>
  <c r="L1378" i="1" s="1"/>
  <c r="G1377" i="1"/>
  <c r="L1377" i="1" s="1"/>
  <c r="G1376" i="1"/>
  <c r="L1376" i="1" s="1"/>
  <c r="G1375" i="1"/>
  <c r="L1375" i="1" s="1"/>
  <c r="G1374" i="1"/>
  <c r="L1374" i="1" s="1"/>
  <c r="G1373" i="1"/>
  <c r="L1373" i="1" s="1"/>
  <c r="G1372" i="1"/>
  <c r="L1372" i="1" s="1"/>
  <c r="G1371" i="1"/>
  <c r="L1371" i="1" s="1"/>
  <c r="G1370" i="1"/>
  <c r="L1370" i="1" s="1"/>
  <c r="G1369" i="1"/>
  <c r="L1369" i="1" s="1"/>
  <c r="G1368" i="1"/>
  <c r="L1368" i="1" s="1"/>
  <c r="G1367" i="1"/>
  <c r="L1367" i="1" s="1"/>
  <c r="G1366" i="1"/>
  <c r="L1366" i="1" s="1"/>
  <c r="G1365" i="1"/>
  <c r="L1365" i="1" s="1"/>
  <c r="G1364" i="1"/>
  <c r="L1364" i="1" s="1"/>
  <c r="G1363" i="1"/>
  <c r="L1363" i="1" s="1"/>
  <c r="G1362" i="1"/>
  <c r="L1362" i="1" s="1"/>
  <c r="G1361" i="1"/>
  <c r="L1361" i="1" s="1"/>
  <c r="G1360" i="1"/>
  <c r="L1360" i="1" s="1"/>
  <c r="G1359" i="1"/>
  <c r="L1359" i="1" s="1"/>
  <c r="G1358" i="1"/>
  <c r="L1358" i="1" s="1"/>
  <c r="G1357" i="1"/>
  <c r="L1357" i="1" s="1"/>
  <c r="G1356" i="1"/>
  <c r="L1356" i="1" s="1"/>
  <c r="G1355" i="1"/>
  <c r="L1355" i="1" s="1"/>
  <c r="G1354" i="1"/>
  <c r="L1354" i="1" s="1"/>
  <c r="G1353" i="1"/>
  <c r="L1353" i="1" s="1"/>
  <c r="G1352" i="1"/>
  <c r="L1352" i="1" s="1"/>
  <c r="G1351" i="1"/>
  <c r="L1351" i="1" s="1"/>
  <c r="G1350" i="1"/>
  <c r="L1350" i="1" s="1"/>
  <c r="G1349" i="1"/>
  <c r="L1349" i="1" s="1"/>
  <c r="G1348" i="1"/>
  <c r="L1348" i="1" s="1"/>
  <c r="G1347" i="1"/>
  <c r="L1347" i="1" s="1"/>
  <c r="G1346" i="1"/>
  <c r="L1346" i="1" s="1"/>
  <c r="G1345" i="1"/>
  <c r="L1345" i="1" s="1"/>
  <c r="G1344" i="1"/>
  <c r="L1344" i="1" s="1"/>
  <c r="G1343" i="1"/>
  <c r="L1343" i="1" s="1"/>
  <c r="G1342" i="1"/>
  <c r="L1342" i="1" s="1"/>
  <c r="G1341" i="1"/>
  <c r="L1341" i="1" s="1"/>
  <c r="G1340" i="1"/>
  <c r="L1340" i="1" s="1"/>
  <c r="G1339" i="1"/>
  <c r="L1339" i="1" s="1"/>
  <c r="G1338" i="1"/>
  <c r="L1338" i="1" s="1"/>
  <c r="G1337" i="1"/>
  <c r="L1337" i="1" s="1"/>
  <c r="G1336" i="1"/>
  <c r="L1336" i="1" s="1"/>
  <c r="G1335" i="1"/>
  <c r="L1335" i="1" s="1"/>
  <c r="G1334" i="1"/>
  <c r="L1334" i="1" s="1"/>
  <c r="G1333" i="1"/>
  <c r="L1333" i="1" s="1"/>
  <c r="G1332" i="1"/>
  <c r="L1332" i="1" s="1"/>
  <c r="G1331" i="1"/>
  <c r="L1331" i="1" s="1"/>
  <c r="G1330" i="1"/>
  <c r="L1330" i="1" s="1"/>
  <c r="G1329" i="1"/>
  <c r="L1329" i="1" s="1"/>
  <c r="G1328" i="1"/>
  <c r="L1328" i="1" s="1"/>
  <c r="G1327" i="1"/>
  <c r="L1327" i="1" s="1"/>
  <c r="G1326" i="1"/>
  <c r="L1326" i="1" s="1"/>
  <c r="G1325" i="1"/>
  <c r="L1325" i="1" s="1"/>
  <c r="G1324" i="1"/>
  <c r="L1324" i="1" s="1"/>
  <c r="G1323" i="1"/>
  <c r="L1323" i="1" s="1"/>
  <c r="G1322" i="1"/>
  <c r="L1322" i="1" s="1"/>
  <c r="G1321" i="1"/>
  <c r="L1321" i="1" s="1"/>
  <c r="G1320" i="1"/>
  <c r="L1320" i="1" s="1"/>
  <c r="G1319" i="1"/>
  <c r="L1319" i="1" s="1"/>
  <c r="G1318" i="1"/>
  <c r="L1318" i="1" s="1"/>
  <c r="G1317" i="1"/>
  <c r="L1317" i="1" s="1"/>
  <c r="G1316" i="1"/>
  <c r="L1316" i="1" s="1"/>
  <c r="G1315" i="1"/>
  <c r="L1315" i="1" s="1"/>
  <c r="G1314" i="1"/>
  <c r="L1314" i="1" s="1"/>
  <c r="G1313" i="1"/>
  <c r="L1313" i="1" s="1"/>
  <c r="G1312" i="1"/>
  <c r="L1312" i="1" s="1"/>
  <c r="G1311" i="1"/>
  <c r="L1311" i="1" s="1"/>
  <c r="G1310" i="1"/>
  <c r="L1310" i="1" s="1"/>
  <c r="G1309" i="1"/>
  <c r="L1309" i="1" s="1"/>
  <c r="G1308" i="1"/>
  <c r="L1308" i="1" s="1"/>
  <c r="G1307" i="1"/>
  <c r="L1307" i="1" s="1"/>
  <c r="G1306" i="1"/>
  <c r="L1306" i="1" s="1"/>
  <c r="G1305" i="1"/>
  <c r="L1305" i="1" s="1"/>
  <c r="G1304" i="1"/>
  <c r="L1304" i="1" s="1"/>
  <c r="G1303" i="1"/>
  <c r="L1303" i="1" s="1"/>
  <c r="G1302" i="1"/>
  <c r="L1302" i="1" s="1"/>
  <c r="G1301" i="1"/>
  <c r="L1301" i="1" s="1"/>
  <c r="G1300" i="1"/>
  <c r="L1300" i="1" s="1"/>
  <c r="G1299" i="1"/>
  <c r="L1299" i="1" s="1"/>
  <c r="G1298" i="1"/>
  <c r="L1298" i="1" s="1"/>
  <c r="G1297" i="1"/>
  <c r="L1297" i="1" s="1"/>
  <c r="G1296" i="1"/>
  <c r="L1296" i="1" s="1"/>
  <c r="G1295" i="1"/>
  <c r="L1295" i="1" s="1"/>
  <c r="G1294" i="1"/>
  <c r="L1294" i="1" s="1"/>
  <c r="G1293" i="1"/>
  <c r="L1293" i="1" s="1"/>
  <c r="G1292" i="1"/>
  <c r="L1292" i="1" s="1"/>
  <c r="G1291" i="1"/>
  <c r="L1291" i="1" s="1"/>
  <c r="G1290" i="1"/>
  <c r="L1290" i="1" s="1"/>
  <c r="G1289" i="1"/>
  <c r="L1289" i="1" s="1"/>
  <c r="G1288" i="1"/>
  <c r="L1288" i="1" s="1"/>
  <c r="G1287" i="1"/>
  <c r="L1287" i="1" s="1"/>
  <c r="G1286" i="1"/>
  <c r="L1286" i="1" s="1"/>
  <c r="G1285" i="1"/>
  <c r="L1285" i="1" s="1"/>
  <c r="G1284" i="1"/>
  <c r="L1284" i="1" s="1"/>
  <c r="G1283" i="1"/>
  <c r="L1283" i="1" s="1"/>
  <c r="G1282" i="1"/>
  <c r="L1282" i="1" s="1"/>
  <c r="G1281" i="1"/>
  <c r="L1281" i="1" s="1"/>
  <c r="G1280" i="1"/>
  <c r="L1280" i="1" s="1"/>
  <c r="G1279" i="1"/>
  <c r="L1279" i="1" s="1"/>
  <c r="G1278" i="1"/>
  <c r="L1278" i="1" s="1"/>
  <c r="G1277" i="1"/>
  <c r="L1277" i="1" s="1"/>
  <c r="G1276" i="1"/>
  <c r="L1276" i="1" s="1"/>
  <c r="G1275" i="1"/>
  <c r="L1275" i="1" s="1"/>
  <c r="G1274" i="1"/>
  <c r="L1274" i="1" s="1"/>
  <c r="G1273" i="1"/>
  <c r="L1273" i="1" s="1"/>
  <c r="G1272" i="1"/>
  <c r="L1272" i="1" s="1"/>
  <c r="G1271" i="1"/>
  <c r="L1271" i="1" s="1"/>
  <c r="G1270" i="1"/>
  <c r="L1270" i="1" s="1"/>
  <c r="G1269" i="1"/>
  <c r="L1269" i="1" s="1"/>
  <c r="G1268" i="1"/>
  <c r="L1268" i="1" s="1"/>
  <c r="G1267" i="1"/>
  <c r="L1267" i="1" s="1"/>
  <c r="G1266" i="1"/>
  <c r="L1266" i="1" s="1"/>
  <c r="G1265" i="1"/>
  <c r="L1265" i="1" s="1"/>
  <c r="G1264" i="1"/>
  <c r="L1264" i="1" s="1"/>
  <c r="G1263" i="1"/>
  <c r="L1263" i="1" s="1"/>
  <c r="G1262" i="1"/>
  <c r="L1262" i="1" s="1"/>
  <c r="G1261" i="1"/>
  <c r="L1261" i="1" s="1"/>
  <c r="G1260" i="1"/>
  <c r="L1260" i="1" s="1"/>
  <c r="G1259" i="1"/>
  <c r="L1259" i="1" s="1"/>
  <c r="G1258" i="1"/>
  <c r="L1258" i="1" s="1"/>
  <c r="G1257" i="1"/>
  <c r="L1257" i="1" s="1"/>
  <c r="G1256" i="1"/>
  <c r="L1256" i="1" s="1"/>
  <c r="G1255" i="1"/>
  <c r="L1255" i="1" s="1"/>
  <c r="G1254" i="1"/>
  <c r="L1254" i="1" s="1"/>
  <c r="G1253" i="1"/>
  <c r="L1253" i="1" s="1"/>
  <c r="G1252" i="1"/>
  <c r="L1252" i="1" s="1"/>
  <c r="G1251" i="1"/>
  <c r="L1251" i="1" s="1"/>
  <c r="G1250" i="1"/>
  <c r="L1250" i="1" s="1"/>
  <c r="G1249" i="1"/>
  <c r="L1249" i="1" s="1"/>
  <c r="G1248" i="1"/>
  <c r="L1248" i="1" s="1"/>
  <c r="G1247" i="1"/>
  <c r="L1247" i="1" s="1"/>
  <c r="G1246" i="1"/>
  <c r="L1246" i="1" s="1"/>
  <c r="G1245" i="1"/>
  <c r="L1245" i="1" s="1"/>
  <c r="G1244" i="1"/>
  <c r="L1244" i="1" s="1"/>
  <c r="G1243" i="1"/>
  <c r="L1243" i="1" s="1"/>
  <c r="G1242" i="1"/>
  <c r="L1242" i="1" s="1"/>
  <c r="G1241" i="1"/>
  <c r="L1241" i="1" s="1"/>
  <c r="G1240" i="1"/>
  <c r="L1240" i="1" s="1"/>
  <c r="G1239" i="1"/>
  <c r="L1239" i="1" s="1"/>
  <c r="G1238" i="1"/>
  <c r="L1238" i="1" s="1"/>
  <c r="G1237" i="1"/>
  <c r="L1237" i="1" s="1"/>
  <c r="G1236" i="1"/>
  <c r="L1236" i="1" s="1"/>
  <c r="G1235" i="1"/>
  <c r="L1235" i="1" s="1"/>
  <c r="G1234" i="1"/>
  <c r="L1234" i="1" s="1"/>
  <c r="G1233" i="1"/>
  <c r="L1233" i="1" s="1"/>
  <c r="G1232" i="1"/>
  <c r="L1232" i="1" s="1"/>
  <c r="G1231" i="1"/>
  <c r="L1231" i="1" s="1"/>
  <c r="G1230" i="1"/>
  <c r="L1230" i="1" s="1"/>
  <c r="G1229" i="1"/>
  <c r="L1229" i="1" s="1"/>
  <c r="G1228" i="1"/>
  <c r="L1228" i="1" s="1"/>
  <c r="G1227" i="1"/>
  <c r="L1227" i="1" s="1"/>
  <c r="G1226" i="1"/>
  <c r="L1226" i="1" s="1"/>
  <c r="G1225" i="1"/>
  <c r="L1225" i="1" s="1"/>
  <c r="G1224" i="1"/>
  <c r="L1224" i="1" s="1"/>
  <c r="G1223" i="1"/>
  <c r="L1223" i="1" s="1"/>
  <c r="G1222" i="1"/>
  <c r="L1222" i="1" s="1"/>
  <c r="G1221" i="1"/>
  <c r="L1221" i="1" s="1"/>
  <c r="G1220" i="1"/>
  <c r="L1220" i="1" s="1"/>
  <c r="G1219" i="1"/>
  <c r="L1219" i="1" s="1"/>
  <c r="G1218" i="1"/>
  <c r="L1218" i="1" s="1"/>
  <c r="G1217" i="1"/>
  <c r="L1217" i="1" s="1"/>
  <c r="G1216" i="1"/>
  <c r="L1216" i="1" s="1"/>
  <c r="G1215" i="1"/>
  <c r="L1215" i="1" s="1"/>
  <c r="G1214" i="1"/>
  <c r="L1214" i="1" s="1"/>
  <c r="G1213" i="1"/>
  <c r="L1213" i="1" s="1"/>
  <c r="G1212" i="1"/>
  <c r="L1212" i="1" s="1"/>
  <c r="G1211" i="1"/>
  <c r="L1211" i="1" s="1"/>
  <c r="G1210" i="1"/>
  <c r="L1210" i="1" s="1"/>
  <c r="G1209" i="1"/>
  <c r="L1209" i="1" s="1"/>
  <c r="G1208" i="1"/>
  <c r="L1208" i="1" s="1"/>
  <c r="G1207" i="1"/>
  <c r="L1207" i="1" s="1"/>
  <c r="G1206" i="1"/>
  <c r="L1206" i="1" s="1"/>
  <c r="G1205" i="1"/>
  <c r="L1205" i="1" s="1"/>
  <c r="G1204" i="1"/>
  <c r="L1204" i="1" s="1"/>
  <c r="G1203" i="1"/>
  <c r="L1203" i="1" s="1"/>
  <c r="G1202" i="1"/>
  <c r="L1202" i="1" s="1"/>
  <c r="G1201" i="1"/>
  <c r="L1201" i="1" s="1"/>
  <c r="G1200" i="1"/>
  <c r="L1200" i="1" s="1"/>
  <c r="G1199" i="1"/>
  <c r="L1199" i="1" s="1"/>
  <c r="G1198" i="1"/>
  <c r="L1198" i="1" s="1"/>
  <c r="G1197" i="1"/>
  <c r="L1197" i="1" s="1"/>
  <c r="G1196" i="1"/>
  <c r="L1196" i="1" s="1"/>
  <c r="G1195" i="1"/>
  <c r="L1195" i="1" s="1"/>
  <c r="G1194" i="1"/>
  <c r="L1194" i="1" s="1"/>
  <c r="G1193" i="1"/>
  <c r="L1193" i="1" s="1"/>
  <c r="G1192" i="1"/>
  <c r="L1192" i="1" s="1"/>
  <c r="G1191" i="1"/>
  <c r="L1191" i="1" s="1"/>
  <c r="G1190" i="1"/>
  <c r="L1190" i="1" s="1"/>
  <c r="G1189" i="1"/>
  <c r="L1189" i="1" s="1"/>
  <c r="G1188" i="1"/>
  <c r="L1188" i="1" s="1"/>
  <c r="G1187" i="1"/>
  <c r="L1187" i="1" s="1"/>
  <c r="G1186" i="1"/>
  <c r="L1186" i="1" s="1"/>
  <c r="G1185" i="1"/>
  <c r="L1185" i="1" s="1"/>
  <c r="G1184" i="1"/>
  <c r="L1184" i="1" s="1"/>
  <c r="G1183" i="1"/>
  <c r="L1183" i="1" s="1"/>
  <c r="G1182" i="1"/>
  <c r="L1182" i="1" s="1"/>
  <c r="G1181" i="1"/>
  <c r="L1181" i="1" s="1"/>
  <c r="G1180" i="1"/>
  <c r="L1180" i="1" s="1"/>
  <c r="G1179" i="1"/>
  <c r="L1179" i="1" s="1"/>
  <c r="G1178" i="1"/>
  <c r="L1178" i="1" s="1"/>
  <c r="G1177" i="1"/>
  <c r="L1177" i="1" s="1"/>
  <c r="G1176" i="1"/>
  <c r="L1176" i="1" s="1"/>
  <c r="G1175" i="1"/>
  <c r="L1175" i="1" s="1"/>
  <c r="G1174" i="1"/>
  <c r="L1174" i="1" s="1"/>
  <c r="G1173" i="1"/>
  <c r="L1173" i="1" s="1"/>
  <c r="G1172" i="1"/>
  <c r="L1172" i="1" s="1"/>
  <c r="G1171" i="1"/>
  <c r="L1171" i="1" s="1"/>
  <c r="G1170" i="1"/>
  <c r="L1170" i="1" s="1"/>
  <c r="G1169" i="1"/>
  <c r="L1169" i="1" s="1"/>
  <c r="G1168" i="1"/>
  <c r="L1168" i="1" s="1"/>
  <c r="G1167" i="1"/>
  <c r="L1167" i="1" s="1"/>
  <c r="G1166" i="1"/>
  <c r="L1166" i="1" s="1"/>
  <c r="G1165" i="1"/>
  <c r="L1165" i="1" s="1"/>
  <c r="G1164" i="1"/>
  <c r="L1164" i="1" s="1"/>
  <c r="G1163" i="1"/>
  <c r="L1163" i="1" s="1"/>
  <c r="G1162" i="1"/>
  <c r="L1162" i="1" s="1"/>
  <c r="G1161" i="1"/>
  <c r="L1161" i="1" s="1"/>
  <c r="G1160" i="1"/>
  <c r="L1160" i="1" s="1"/>
  <c r="G1159" i="1"/>
  <c r="L1159" i="1" s="1"/>
  <c r="G1158" i="1"/>
  <c r="L1158" i="1" s="1"/>
  <c r="G1157" i="1"/>
  <c r="L1157" i="1" s="1"/>
  <c r="G1156" i="1"/>
  <c r="L1156" i="1" s="1"/>
  <c r="G1155" i="1"/>
  <c r="L1155" i="1" s="1"/>
  <c r="G1154" i="1"/>
  <c r="L1154" i="1" s="1"/>
  <c r="G1153" i="1"/>
  <c r="L1153" i="1" s="1"/>
  <c r="G1152" i="1"/>
  <c r="L1152" i="1" s="1"/>
  <c r="G1151" i="1"/>
  <c r="L1151" i="1" s="1"/>
  <c r="G1150" i="1"/>
  <c r="L1150" i="1" s="1"/>
  <c r="G1149" i="1"/>
  <c r="L1149" i="1" s="1"/>
  <c r="G1148" i="1"/>
  <c r="L1148" i="1" s="1"/>
  <c r="G1147" i="1"/>
  <c r="L1147" i="1" s="1"/>
  <c r="G1146" i="1"/>
  <c r="L1146" i="1" s="1"/>
  <c r="G1145" i="1"/>
  <c r="L1145" i="1" s="1"/>
  <c r="G1144" i="1"/>
  <c r="L1144" i="1" s="1"/>
  <c r="G1143" i="1"/>
  <c r="L1143" i="1" s="1"/>
  <c r="G1142" i="1"/>
  <c r="L1142" i="1" s="1"/>
  <c r="G1141" i="1"/>
  <c r="L1141" i="1" s="1"/>
  <c r="G1140" i="1"/>
  <c r="L1140" i="1" s="1"/>
  <c r="G1139" i="1"/>
  <c r="L1139" i="1" s="1"/>
  <c r="G1138" i="1"/>
  <c r="L1138" i="1" s="1"/>
  <c r="G1137" i="1"/>
  <c r="L1137" i="1" s="1"/>
  <c r="G1136" i="1"/>
  <c r="L1136" i="1" s="1"/>
  <c r="G1135" i="1"/>
  <c r="L1135" i="1" s="1"/>
  <c r="G1134" i="1"/>
  <c r="L1134" i="1" s="1"/>
  <c r="G1133" i="1"/>
  <c r="L1133" i="1" s="1"/>
  <c r="G1132" i="1"/>
  <c r="L1132" i="1" s="1"/>
  <c r="G1131" i="1"/>
  <c r="L1131" i="1" s="1"/>
  <c r="G1130" i="1"/>
  <c r="L1130" i="1" s="1"/>
  <c r="G1129" i="1"/>
  <c r="L1129" i="1" s="1"/>
  <c r="G1128" i="1"/>
  <c r="L1128" i="1" s="1"/>
  <c r="G1127" i="1"/>
  <c r="L1127" i="1" s="1"/>
  <c r="G1126" i="1"/>
  <c r="L1126" i="1" s="1"/>
  <c r="G1125" i="1"/>
  <c r="L1125" i="1" s="1"/>
  <c r="G1124" i="1"/>
  <c r="L1124" i="1" s="1"/>
  <c r="G1123" i="1"/>
  <c r="L1123" i="1" s="1"/>
  <c r="G1122" i="1"/>
  <c r="L1122" i="1" s="1"/>
  <c r="G1121" i="1"/>
  <c r="L1121" i="1" s="1"/>
  <c r="G1120" i="1"/>
  <c r="L1120" i="1" s="1"/>
  <c r="G1119" i="1"/>
  <c r="L1119" i="1" s="1"/>
  <c r="G1118" i="1"/>
  <c r="L1118" i="1" s="1"/>
  <c r="G1117" i="1"/>
  <c r="L1117" i="1" s="1"/>
  <c r="G1116" i="1"/>
  <c r="L1116" i="1" s="1"/>
  <c r="G1115" i="1"/>
  <c r="L1115" i="1" s="1"/>
  <c r="G1114" i="1"/>
  <c r="L1114" i="1" s="1"/>
  <c r="G1113" i="1"/>
  <c r="L1113" i="1" s="1"/>
  <c r="G1112" i="1"/>
  <c r="L1112" i="1" s="1"/>
  <c r="G1111" i="1"/>
  <c r="L1111" i="1" s="1"/>
  <c r="G1110" i="1"/>
  <c r="L1110" i="1" s="1"/>
  <c r="G1109" i="1"/>
  <c r="L1109" i="1" s="1"/>
  <c r="G1108" i="1"/>
  <c r="L1108" i="1" s="1"/>
  <c r="G1107" i="1"/>
  <c r="L1107" i="1" s="1"/>
  <c r="G1106" i="1"/>
  <c r="L1106" i="1" s="1"/>
  <c r="G1105" i="1"/>
  <c r="L1105" i="1" s="1"/>
  <c r="G1104" i="1"/>
  <c r="L1104" i="1" s="1"/>
  <c r="G1103" i="1"/>
  <c r="L1103" i="1" s="1"/>
  <c r="G1102" i="1"/>
  <c r="L1102" i="1" s="1"/>
  <c r="G1101" i="1"/>
  <c r="L1101" i="1" s="1"/>
  <c r="G1100" i="1"/>
  <c r="L1100" i="1" s="1"/>
  <c r="G1099" i="1"/>
  <c r="L1099" i="1" s="1"/>
  <c r="G1098" i="1"/>
  <c r="L1098" i="1" s="1"/>
  <c r="G1097" i="1"/>
  <c r="L1097" i="1" s="1"/>
  <c r="G1096" i="1"/>
  <c r="L1096" i="1" s="1"/>
  <c r="G1095" i="1"/>
  <c r="L1095" i="1" s="1"/>
  <c r="G1094" i="1"/>
  <c r="L1094" i="1" s="1"/>
  <c r="G1093" i="1"/>
  <c r="L1093" i="1" s="1"/>
  <c r="G1092" i="1"/>
  <c r="L1092" i="1" s="1"/>
  <c r="G1091" i="1"/>
  <c r="L1091" i="1" s="1"/>
  <c r="G1090" i="1"/>
  <c r="L1090" i="1" s="1"/>
  <c r="G1089" i="1"/>
  <c r="L1089" i="1" s="1"/>
  <c r="G1088" i="1"/>
  <c r="L1088" i="1" s="1"/>
  <c r="G1087" i="1"/>
  <c r="L1087" i="1" s="1"/>
  <c r="G1086" i="1"/>
  <c r="L1086" i="1" s="1"/>
  <c r="G1085" i="1"/>
  <c r="L1085" i="1" s="1"/>
  <c r="G1084" i="1"/>
  <c r="L1084" i="1" s="1"/>
  <c r="G1083" i="1"/>
  <c r="L1083" i="1" s="1"/>
  <c r="G1082" i="1"/>
  <c r="L1082" i="1" s="1"/>
  <c r="G1081" i="1"/>
  <c r="L1081" i="1" s="1"/>
  <c r="G1080" i="1"/>
  <c r="L1080" i="1" s="1"/>
  <c r="G1079" i="1"/>
  <c r="L1079" i="1" s="1"/>
  <c r="G1078" i="1"/>
  <c r="L1078" i="1" s="1"/>
  <c r="G1077" i="1"/>
  <c r="L1077" i="1" s="1"/>
  <c r="G1076" i="1"/>
  <c r="L1076" i="1" s="1"/>
  <c r="G1075" i="1"/>
  <c r="L1075" i="1" s="1"/>
  <c r="G1074" i="1"/>
  <c r="L1074" i="1" s="1"/>
  <c r="G1073" i="1"/>
  <c r="L1073" i="1" s="1"/>
  <c r="G1072" i="1"/>
  <c r="L1072" i="1" s="1"/>
  <c r="G1071" i="1"/>
  <c r="L1071" i="1" s="1"/>
  <c r="G1070" i="1"/>
  <c r="L1070" i="1" s="1"/>
  <c r="G1069" i="1"/>
  <c r="L1069" i="1" s="1"/>
  <c r="G1068" i="1"/>
  <c r="L1068" i="1" s="1"/>
  <c r="G1067" i="1"/>
  <c r="L1067" i="1" s="1"/>
  <c r="G1066" i="1"/>
  <c r="L1066" i="1" s="1"/>
  <c r="G1065" i="1"/>
  <c r="L1065" i="1" s="1"/>
  <c r="G1064" i="1"/>
  <c r="L1064" i="1" s="1"/>
  <c r="G1063" i="1"/>
  <c r="L1063" i="1" s="1"/>
  <c r="G1062" i="1"/>
  <c r="L1062" i="1" s="1"/>
  <c r="G1061" i="1"/>
  <c r="L1061" i="1" s="1"/>
  <c r="G1060" i="1"/>
  <c r="L1060" i="1" s="1"/>
  <c r="G1059" i="1"/>
  <c r="L1059" i="1" s="1"/>
  <c r="G1058" i="1"/>
  <c r="L1058" i="1" s="1"/>
  <c r="G1057" i="1"/>
  <c r="L1057" i="1" s="1"/>
  <c r="G1056" i="1"/>
  <c r="L1056" i="1" s="1"/>
  <c r="G1055" i="1"/>
  <c r="L1055" i="1" s="1"/>
  <c r="G1054" i="1"/>
  <c r="L1054" i="1" s="1"/>
  <c r="G1053" i="1"/>
  <c r="L1053" i="1" s="1"/>
  <c r="G1052" i="1"/>
  <c r="L1052" i="1" s="1"/>
  <c r="G1051" i="1"/>
  <c r="L1051" i="1" s="1"/>
  <c r="G1050" i="1"/>
  <c r="L1050" i="1" s="1"/>
  <c r="G1049" i="1"/>
  <c r="L1049" i="1" s="1"/>
  <c r="G1048" i="1"/>
  <c r="L1048" i="1" s="1"/>
  <c r="G1047" i="1"/>
  <c r="L1047" i="1" s="1"/>
  <c r="G1046" i="1"/>
  <c r="L1046" i="1" s="1"/>
  <c r="G1045" i="1"/>
  <c r="L1045" i="1" s="1"/>
  <c r="G1044" i="1"/>
  <c r="L1044" i="1" s="1"/>
  <c r="G1043" i="1"/>
  <c r="L1043" i="1" s="1"/>
  <c r="G1042" i="1"/>
  <c r="L1042" i="1" s="1"/>
  <c r="G1041" i="1"/>
  <c r="L1041" i="1" s="1"/>
  <c r="G1040" i="1"/>
  <c r="L1040" i="1" s="1"/>
  <c r="G1039" i="1"/>
  <c r="L1039" i="1" s="1"/>
  <c r="G1038" i="1"/>
  <c r="L1038" i="1" s="1"/>
  <c r="G1037" i="1"/>
  <c r="L1037" i="1" s="1"/>
  <c r="G1036" i="1"/>
  <c r="L1036" i="1" s="1"/>
  <c r="G1035" i="1"/>
  <c r="L1035" i="1" s="1"/>
  <c r="G1034" i="1"/>
  <c r="L1034" i="1" s="1"/>
  <c r="G1033" i="1"/>
  <c r="L1033" i="1" s="1"/>
  <c r="G1032" i="1"/>
  <c r="L1032" i="1" s="1"/>
  <c r="G1031" i="1"/>
  <c r="L1031" i="1" s="1"/>
  <c r="G1030" i="1"/>
  <c r="L1030" i="1" s="1"/>
  <c r="G1029" i="1"/>
  <c r="L1029" i="1" s="1"/>
  <c r="G1028" i="1"/>
  <c r="L1028" i="1" s="1"/>
  <c r="G1027" i="1"/>
  <c r="L1027" i="1" s="1"/>
  <c r="G1026" i="1"/>
  <c r="L1026" i="1" s="1"/>
  <c r="G1025" i="1"/>
  <c r="L1025" i="1" s="1"/>
  <c r="G1024" i="1"/>
  <c r="L1024" i="1" s="1"/>
  <c r="G1023" i="1"/>
  <c r="L1023" i="1" s="1"/>
  <c r="G1022" i="1"/>
  <c r="L1022" i="1" s="1"/>
  <c r="G1021" i="1"/>
  <c r="L1021" i="1" s="1"/>
  <c r="G1020" i="1"/>
  <c r="L1020" i="1" s="1"/>
  <c r="G1019" i="1"/>
  <c r="L1019" i="1" s="1"/>
  <c r="G1018" i="1"/>
  <c r="L1018" i="1" s="1"/>
  <c r="G1017" i="1"/>
  <c r="L1017" i="1" s="1"/>
  <c r="G1016" i="1"/>
  <c r="L1016" i="1" s="1"/>
  <c r="G1015" i="1"/>
  <c r="L1015" i="1" s="1"/>
  <c r="G1014" i="1"/>
  <c r="L1014" i="1" s="1"/>
  <c r="G1013" i="1"/>
  <c r="L1013" i="1" s="1"/>
  <c r="G1012" i="1"/>
  <c r="L1012" i="1" s="1"/>
  <c r="G1011" i="1"/>
  <c r="L1011" i="1" s="1"/>
  <c r="G1010" i="1"/>
  <c r="L1010" i="1" s="1"/>
  <c r="G1009" i="1"/>
  <c r="L1009" i="1" s="1"/>
  <c r="G1008" i="1"/>
  <c r="L1008" i="1" s="1"/>
  <c r="G1007" i="1"/>
  <c r="L1007" i="1" s="1"/>
  <c r="G1006" i="1"/>
  <c r="L1006" i="1" s="1"/>
  <c r="G1005" i="1"/>
  <c r="L1005" i="1" s="1"/>
  <c r="G1004" i="1"/>
  <c r="L1004" i="1" s="1"/>
  <c r="G1003" i="1"/>
  <c r="L1003" i="1" s="1"/>
  <c r="G1002" i="1"/>
  <c r="L1002" i="1" s="1"/>
  <c r="G1001" i="1"/>
  <c r="L1001" i="1" s="1"/>
  <c r="G1000" i="1"/>
  <c r="L1000" i="1" s="1"/>
  <c r="G999" i="1"/>
  <c r="L999" i="1" s="1"/>
  <c r="G998" i="1"/>
  <c r="L998" i="1" s="1"/>
  <c r="G997" i="1"/>
  <c r="L997" i="1" s="1"/>
  <c r="G996" i="1"/>
  <c r="L996" i="1" s="1"/>
  <c r="G995" i="1"/>
  <c r="L995" i="1" s="1"/>
  <c r="G994" i="1"/>
  <c r="L994" i="1" s="1"/>
  <c r="G993" i="1"/>
  <c r="L993" i="1" s="1"/>
  <c r="G992" i="1"/>
  <c r="L992" i="1" s="1"/>
  <c r="G991" i="1"/>
  <c r="L991" i="1" s="1"/>
  <c r="G990" i="1"/>
  <c r="L990" i="1" s="1"/>
  <c r="G989" i="1"/>
  <c r="L989" i="1" s="1"/>
  <c r="G988" i="1"/>
  <c r="L988" i="1" s="1"/>
  <c r="G987" i="1"/>
  <c r="L987" i="1" s="1"/>
  <c r="G986" i="1"/>
  <c r="L986" i="1" s="1"/>
  <c r="G985" i="1"/>
  <c r="L985" i="1" s="1"/>
  <c r="G984" i="1"/>
  <c r="L984" i="1" s="1"/>
  <c r="G983" i="1"/>
  <c r="L983" i="1" s="1"/>
  <c r="G982" i="1"/>
  <c r="L982" i="1" s="1"/>
  <c r="G981" i="1"/>
  <c r="L981" i="1" s="1"/>
  <c r="G980" i="1"/>
  <c r="L980" i="1" s="1"/>
  <c r="G979" i="1"/>
  <c r="L979" i="1" s="1"/>
  <c r="G978" i="1"/>
  <c r="L978" i="1" s="1"/>
  <c r="G977" i="1"/>
  <c r="L977" i="1" s="1"/>
  <c r="G976" i="1"/>
  <c r="L976" i="1" s="1"/>
  <c r="G975" i="1"/>
  <c r="L975" i="1" s="1"/>
  <c r="G974" i="1"/>
  <c r="L974" i="1" s="1"/>
  <c r="G973" i="1"/>
  <c r="L973" i="1" s="1"/>
  <c r="G972" i="1"/>
  <c r="L972" i="1" s="1"/>
  <c r="G971" i="1"/>
  <c r="L971" i="1" s="1"/>
  <c r="G970" i="1"/>
  <c r="L970" i="1" s="1"/>
  <c r="G969" i="1"/>
  <c r="L969" i="1" s="1"/>
  <c r="G968" i="1"/>
  <c r="L968" i="1" s="1"/>
  <c r="G967" i="1"/>
  <c r="L967" i="1" s="1"/>
  <c r="G966" i="1"/>
  <c r="L966" i="1" s="1"/>
  <c r="G965" i="1"/>
  <c r="L965" i="1" s="1"/>
  <c r="G964" i="1"/>
  <c r="L964" i="1" s="1"/>
  <c r="G963" i="1"/>
  <c r="L963" i="1" s="1"/>
  <c r="G962" i="1"/>
  <c r="L962" i="1" s="1"/>
  <c r="G961" i="1"/>
  <c r="L961" i="1" s="1"/>
  <c r="G960" i="1"/>
  <c r="L960" i="1" s="1"/>
  <c r="G959" i="1"/>
  <c r="L959" i="1" s="1"/>
  <c r="G958" i="1"/>
  <c r="L958" i="1" s="1"/>
  <c r="G957" i="1"/>
  <c r="L957" i="1" s="1"/>
  <c r="G956" i="1"/>
  <c r="L956" i="1" s="1"/>
  <c r="G955" i="1"/>
  <c r="L955" i="1" s="1"/>
  <c r="G954" i="1"/>
  <c r="L954" i="1" s="1"/>
  <c r="G953" i="1"/>
  <c r="L953" i="1" s="1"/>
  <c r="G952" i="1"/>
  <c r="L952" i="1" s="1"/>
  <c r="G951" i="1"/>
  <c r="L951" i="1" s="1"/>
  <c r="G950" i="1"/>
  <c r="L950" i="1" s="1"/>
  <c r="G949" i="1"/>
  <c r="L949" i="1" s="1"/>
  <c r="G948" i="1"/>
  <c r="L948" i="1" s="1"/>
  <c r="G947" i="1"/>
  <c r="L947" i="1" s="1"/>
  <c r="G946" i="1"/>
  <c r="L946" i="1" s="1"/>
  <c r="G945" i="1"/>
  <c r="L945" i="1" s="1"/>
  <c r="G944" i="1"/>
  <c r="L944" i="1" s="1"/>
  <c r="G943" i="1"/>
  <c r="L943" i="1" s="1"/>
  <c r="G942" i="1"/>
  <c r="L942" i="1" s="1"/>
  <c r="G941" i="1"/>
  <c r="L941" i="1" s="1"/>
  <c r="G940" i="1"/>
  <c r="L940" i="1" s="1"/>
  <c r="G939" i="1"/>
  <c r="L939" i="1" s="1"/>
  <c r="G938" i="1"/>
  <c r="L938" i="1" s="1"/>
  <c r="G937" i="1"/>
  <c r="L937" i="1" s="1"/>
  <c r="G936" i="1"/>
  <c r="L936" i="1" s="1"/>
  <c r="G935" i="1"/>
  <c r="L935" i="1" s="1"/>
  <c r="G934" i="1"/>
  <c r="L934" i="1" s="1"/>
  <c r="G933" i="1"/>
  <c r="L933" i="1" s="1"/>
  <c r="G932" i="1"/>
  <c r="L932" i="1" s="1"/>
  <c r="G931" i="1"/>
  <c r="L931" i="1" s="1"/>
  <c r="G930" i="1"/>
  <c r="L930" i="1" s="1"/>
  <c r="G929" i="1"/>
  <c r="L929" i="1" s="1"/>
  <c r="G928" i="1"/>
  <c r="L928" i="1" s="1"/>
  <c r="G927" i="1"/>
  <c r="L927" i="1" s="1"/>
  <c r="G926" i="1"/>
  <c r="L926" i="1" s="1"/>
  <c r="G925" i="1"/>
  <c r="L925" i="1" s="1"/>
  <c r="G924" i="1"/>
  <c r="L924" i="1" s="1"/>
  <c r="G923" i="1"/>
  <c r="L923" i="1" s="1"/>
  <c r="G922" i="1"/>
  <c r="L922" i="1" s="1"/>
  <c r="G921" i="1"/>
  <c r="L921" i="1" s="1"/>
  <c r="G920" i="1"/>
  <c r="L920" i="1" s="1"/>
  <c r="G919" i="1"/>
  <c r="L919" i="1" s="1"/>
  <c r="G918" i="1"/>
  <c r="L918" i="1" s="1"/>
  <c r="G917" i="1"/>
  <c r="L917" i="1" s="1"/>
  <c r="G916" i="1"/>
  <c r="L916" i="1" s="1"/>
  <c r="G915" i="1"/>
  <c r="L915" i="1" s="1"/>
  <c r="G914" i="1"/>
  <c r="L914" i="1" s="1"/>
  <c r="G913" i="1"/>
  <c r="L913" i="1" s="1"/>
  <c r="G912" i="1"/>
  <c r="L912" i="1" s="1"/>
  <c r="G911" i="1"/>
  <c r="L911" i="1" s="1"/>
  <c r="G910" i="1"/>
  <c r="L910" i="1" s="1"/>
  <c r="G909" i="1"/>
  <c r="L909" i="1" s="1"/>
  <c r="G908" i="1"/>
  <c r="L908" i="1" s="1"/>
  <c r="G907" i="1"/>
  <c r="L907" i="1" s="1"/>
  <c r="G906" i="1"/>
  <c r="L906" i="1" s="1"/>
  <c r="G905" i="1"/>
  <c r="L905" i="1" s="1"/>
  <c r="G904" i="1"/>
  <c r="L904" i="1" s="1"/>
  <c r="G903" i="1"/>
  <c r="L903" i="1" s="1"/>
  <c r="G902" i="1"/>
  <c r="L902" i="1" s="1"/>
  <c r="G901" i="1"/>
  <c r="L901" i="1" s="1"/>
  <c r="G900" i="1"/>
  <c r="L900" i="1" s="1"/>
  <c r="G899" i="1"/>
  <c r="L899" i="1" s="1"/>
  <c r="G898" i="1"/>
  <c r="L898" i="1" s="1"/>
  <c r="G897" i="1"/>
  <c r="L897" i="1" s="1"/>
  <c r="G896" i="1"/>
  <c r="L896" i="1" s="1"/>
  <c r="G895" i="1"/>
  <c r="L895" i="1" s="1"/>
  <c r="G894" i="1"/>
  <c r="L894" i="1" s="1"/>
  <c r="G893" i="1"/>
  <c r="L893" i="1" s="1"/>
  <c r="G892" i="1"/>
  <c r="L892" i="1" s="1"/>
  <c r="G891" i="1"/>
  <c r="L891" i="1" s="1"/>
  <c r="G890" i="1"/>
  <c r="L890" i="1" s="1"/>
  <c r="G889" i="1"/>
  <c r="L889" i="1" s="1"/>
  <c r="G888" i="1"/>
  <c r="L888" i="1" s="1"/>
  <c r="G887" i="1"/>
  <c r="L887" i="1" s="1"/>
  <c r="G886" i="1"/>
  <c r="L886" i="1" s="1"/>
  <c r="G885" i="1"/>
  <c r="L885" i="1" s="1"/>
  <c r="G884" i="1"/>
  <c r="L884" i="1" s="1"/>
  <c r="G883" i="1"/>
  <c r="L883" i="1" s="1"/>
  <c r="G882" i="1"/>
  <c r="L882" i="1" s="1"/>
  <c r="G881" i="1"/>
  <c r="L881" i="1" s="1"/>
  <c r="G880" i="1"/>
  <c r="L880" i="1" s="1"/>
  <c r="G879" i="1"/>
  <c r="L879" i="1" s="1"/>
  <c r="G878" i="1"/>
  <c r="L878" i="1" s="1"/>
  <c r="G877" i="1"/>
  <c r="L877" i="1" s="1"/>
  <c r="G876" i="1"/>
  <c r="L876" i="1" s="1"/>
  <c r="G875" i="1"/>
  <c r="L875" i="1" s="1"/>
  <c r="G874" i="1"/>
  <c r="L874" i="1" s="1"/>
  <c r="G873" i="1"/>
  <c r="L873" i="1" s="1"/>
  <c r="G872" i="1"/>
  <c r="L872" i="1" s="1"/>
  <c r="G871" i="1"/>
  <c r="L871" i="1" s="1"/>
  <c r="G870" i="1"/>
  <c r="L870" i="1" s="1"/>
  <c r="G869" i="1"/>
  <c r="L869" i="1" s="1"/>
  <c r="G868" i="1"/>
  <c r="L868" i="1" s="1"/>
  <c r="G867" i="1"/>
  <c r="L867" i="1" s="1"/>
  <c r="G866" i="1"/>
  <c r="L866" i="1" s="1"/>
  <c r="G865" i="1"/>
  <c r="L865" i="1" s="1"/>
  <c r="G864" i="1"/>
  <c r="L864" i="1" s="1"/>
  <c r="G863" i="1"/>
  <c r="L863" i="1" s="1"/>
  <c r="G862" i="1"/>
  <c r="L862" i="1" s="1"/>
  <c r="G861" i="1"/>
  <c r="L861" i="1" s="1"/>
  <c r="G860" i="1"/>
  <c r="L860" i="1" s="1"/>
  <c r="G859" i="1"/>
  <c r="L859" i="1" s="1"/>
  <c r="G858" i="1"/>
  <c r="L858" i="1" s="1"/>
  <c r="G857" i="1"/>
  <c r="L857" i="1" s="1"/>
  <c r="G856" i="1"/>
  <c r="L856" i="1" s="1"/>
  <c r="G855" i="1"/>
  <c r="L855" i="1" s="1"/>
  <c r="G854" i="1"/>
  <c r="L854" i="1" s="1"/>
  <c r="G853" i="1"/>
  <c r="L853" i="1" s="1"/>
  <c r="G852" i="1"/>
  <c r="L852" i="1" s="1"/>
  <c r="G851" i="1"/>
  <c r="L851" i="1" s="1"/>
  <c r="G850" i="1"/>
  <c r="L850" i="1" s="1"/>
  <c r="G849" i="1"/>
  <c r="L849" i="1" s="1"/>
  <c r="G848" i="1"/>
  <c r="L848" i="1" s="1"/>
  <c r="G847" i="1"/>
  <c r="L847" i="1" s="1"/>
  <c r="G846" i="1"/>
  <c r="L846" i="1" s="1"/>
  <c r="G845" i="1"/>
  <c r="L845" i="1" s="1"/>
  <c r="G844" i="1"/>
  <c r="L844" i="1" s="1"/>
  <c r="G843" i="1"/>
  <c r="L843" i="1" s="1"/>
  <c r="G842" i="1"/>
  <c r="L842" i="1" s="1"/>
  <c r="G841" i="1"/>
  <c r="L841" i="1" s="1"/>
  <c r="G840" i="1"/>
  <c r="L840" i="1" s="1"/>
  <c r="G839" i="1"/>
  <c r="L839" i="1" s="1"/>
  <c r="G838" i="1"/>
  <c r="L838" i="1" s="1"/>
  <c r="G837" i="1"/>
  <c r="L837" i="1" s="1"/>
  <c r="G836" i="1"/>
  <c r="L836" i="1" s="1"/>
  <c r="G835" i="1"/>
  <c r="L835" i="1" s="1"/>
  <c r="G834" i="1"/>
  <c r="L834" i="1" s="1"/>
  <c r="G833" i="1"/>
  <c r="L833" i="1" s="1"/>
  <c r="G832" i="1"/>
  <c r="L832" i="1" s="1"/>
  <c r="G831" i="1"/>
  <c r="L831" i="1" s="1"/>
  <c r="G830" i="1"/>
  <c r="L830" i="1" s="1"/>
  <c r="G829" i="1"/>
  <c r="L829" i="1" s="1"/>
  <c r="G828" i="1"/>
  <c r="L828" i="1" s="1"/>
  <c r="G827" i="1"/>
  <c r="L827" i="1" s="1"/>
  <c r="G826" i="1"/>
  <c r="L826" i="1" s="1"/>
  <c r="G825" i="1"/>
  <c r="L825" i="1" s="1"/>
  <c r="G824" i="1"/>
  <c r="L824" i="1" s="1"/>
  <c r="G823" i="1"/>
  <c r="L823" i="1" s="1"/>
  <c r="G822" i="1"/>
  <c r="L822" i="1" s="1"/>
  <c r="G821" i="1"/>
  <c r="L821" i="1" s="1"/>
  <c r="G820" i="1"/>
  <c r="L820" i="1" s="1"/>
  <c r="G819" i="1"/>
  <c r="L819" i="1" s="1"/>
  <c r="G818" i="1"/>
  <c r="L818" i="1" s="1"/>
  <c r="G817" i="1"/>
  <c r="L817" i="1" s="1"/>
  <c r="G816" i="1"/>
  <c r="L816" i="1" s="1"/>
  <c r="G815" i="1"/>
  <c r="L815" i="1" s="1"/>
  <c r="G814" i="1"/>
  <c r="L814" i="1" s="1"/>
  <c r="G813" i="1"/>
  <c r="L813" i="1" s="1"/>
  <c r="G812" i="1"/>
  <c r="L812" i="1" s="1"/>
  <c r="G811" i="1"/>
  <c r="L811" i="1" s="1"/>
  <c r="G810" i="1"/>
  <c r="L810" i="1" s="1"/>
  <c r="G809" i="1"/>
  <c r="L809" i="1" s="1"/>
  <c r="G808" i="1"/>
  <c r="L808" i="1" s="1"/>
  <c r="G807" i="1"/>
  <c r="L807" i="1" s="1"/>
  <c r="G806" i="1"/>
  <c r="L806" i="1" s="1"/>
  <c r="G805" i="1"/>
  <c r="L805" i="1" s="1"/>
  <c r="G804" i="1"/>
  <c r="L804" i="1" s="1"/>
  <c r="G803" i="1"/>
  <c r="L803" i="1" s="1"/>
  <c r="G802" i="1"/>
  <c r="L802" i="1" s="1"/>
  <c r="G801" i="1"/>
  <c r="L801" i="1" s="1"/>
  <c r="G800" i="1"/>
  <c r="L800" i="1" s="1"/>
  <c r="G799" i="1"/>
  <c r="L799" i="1" s="1"/>
  <c r="G798" i="1"/>
  <c r="L798" i="1" s="1"/>
  <c r="G797" i="1"/>
  <c r="L797" i="1" s="1"/>
  <c r="G796" i="1"/>
  <c r="L796" i="1" s="1"/>
  <c r="G795" i="1"/>
  <c r="L795" i="1" s="1"/>
  <c r="G794" i="1"/>
  <c r="L794" i="1" s="1"/>
  <c r="G793" i="1"/>
  <c r="L793" i="1" s="1"/>
  <c r="G792" i="1"/>
  <c r="L792" i="1" s="1"/>
  <c r="G791" i="1"/>
  <c r="L791" i="1" s="1"/>
  <c r="G790" i="1"/>
  <c r="L790" i="1" s="1"/>
  <c r="G789" i="1"/>
  <c r="L789" i="1" s="1"/>
  <c r="G788" i="1"/>
  <c r="L788" i="1" s="1"/>
  <c r="G787" i="1"/>
  <c r="L787" i="1" s="1"/>
  <c r="G786" i="1"/>
  <c r="L786" i="1" s="1"/>
  <c r="G785" i="1"/>
  <c r="L785" i="1" s="1"/>
  <c r="G784" i="1"/>
  <c r="L784" i="1" s="1"/>
  <c r="G783" i="1"/>
  <c r="L783" i="1" s="1"/>
  <c r="G782" i="1"/>
  <c r="L782" i="1" s="1"/>
  <c r="G781" i="1"/>
  <c r="L781" i="1" s="1"/>
  <c r="G780" i="1"/>
  <c r="L780" i="1" s="1"/>
  <c r="G779" i="1"/>
  <c r="L779" i="1" s="1"/>
  <c r="G778" i="1"/>
  <c r="L778" i="1" s="1"/>
  <c r="G777" i="1"/>
  <c r="L777" i="1" s="1"/>
  <c r="G776" i="1"/>
  <c r="L776" i="1" s="1"/>
  <c r="G775" i="1"/>
  <c r="L775" i="1" s="1"/>
  <c r="G774" i="1"/>
  <c r="L774" i="1" s="1"/>
  <c r="G773" i="1"/>
  <c r="L773" i="1" s="1"/>
  <c r="G772" i="1"/>
  <c r="L772" i="1" s="1"/>
  <c r="G771" i="1"/>
  <c r="L771" i="1" s="1"/>
  <c r="G770" i="1"/>
  <c r="L770" i="1" s="1"/>
  <c r="G769" i="1"/>
  <c r="L769" i="1" s="1"/>
  <c r="G768" i="1"/>
  <c r="L768" i="1" s="1"/>
  <c r="G767" i="1"/>
  <c r="L767" i="1" s="1"/>
  <c r="G766" i="1"/>
  <c r="L766" i="1" s="1"/>
  <c r="G765" i="1"/>
  <c r="L765" i="1" s="1"/>
  <c r="G764" i="1"/>
  <c r="L764" i="1" s="1"/>
  <c r="G763" i="1"/>
  <c r="L763" i="1" s="1"/>
  <c r="G762" i="1"/>
  <c r="L762" i="1" s="1"/>
  <c r="G761" i="1"/>
  <c r="L761" i="1" s="1"/>
  <c r="G760" i="1"/>
  <c r="L760" i="1" s="1"/>
  <c r="G759" i="1"/>
  <c r="L759" i="1" s="1"/>
  <c r="G758" i="1"/>
  <c r="L758" i="1" s="1"/>
  <c r="G757" i="1"/>
  <c r="L757" i="1" s="1"/>
  <c r="G756" i="1"/>
  <c r="L756" i="1" s="1"/>
  <c r="G755" i="1"/>
  <c r="L755" i="1" s="1"/>
  <c r="G754" i="1"/>
  <c r="L754" i="1" s="1"/>
  <c r="G753" i="1"/>
  <c r="L753" i="1" s="1"/>
  <c r="G752" i="1"/>
  <c r="L752" i="1" s="1"/>
  <c r="G751" i="1"/>
  <c r="L751" i="1" s="1"/>
  <c r="G750" i="1"/>
  <c r="L750" i="1" s="1"/>
  <c r="G749" i="1"/>
  <c r="L749" i="1" s="1"/>
  <c r="G748" i="1"/>
  <c r="L748" i="1" s="1"/>
  <c r="G747" i="1"/>
  <c r="L747" i="1" s="1"/>
  <c r="G746" i="1"/>
  <c r="L746" i="1" s="1"/>
  <c r="G745" i="1"/>
  <c r="L745" i="1" s="1"/>
  <c r="G744" i="1"/>
  <c r="L744" i="1" s="1"/>
  <c r="G743" i="1"/>
  <c r="L743" i="1" s="1"/>
  <c r="G742" i="1"/>
  <c r="L742" i="1" s="1"/>
  <c r="G741" i="1"/>
  <c r="L741" i="1" s="1"/>
  <c r="G740" i="1"/>
  <c r="L740" i="1" s="1"/>
  <c r="G739" i="1"/>
  <c r="L739" i="1" s="1"/>
  <c r="G738" i="1"/>
  <c r="L738" i="1" s="1"/>
  <c r="G737" i="1"/>
  <c r="L737" i="1" s="1"/>
  <c r="G736" i="1"/>
  <c r="L736" i="1" s="1"/>
  <c r="G735" i="1"/>
  <c r="L735" i="1" s="1"/>
  <c r="G734" i="1"/>
  <c r="L734" i="1" s="1"/>
  <c r="G733" i="1"/>
  <c r="L733" i="1" s="1"/>
  <c r="G732" i="1"/>
  <c r="L732" i="1" s="1"/>
  <c r="G731" i="1"/>
  <c r="L731" i="1" s="1"/>
  <c r="G730" i="1"/>
  <c r="L730" i="1" s="1"/>
  <c r="G729" i="1"/>
  <c r="L729" i="1" s="1"/>
  <c r="G728" i="1"/>
  <c r="L728" i="1" s="1"/>
  <c r="G727" i="1"/>
  <c r="L727" i="1" s="1"/>
  <c r="G726" i="1"/>
  <c r="L726" i="1" s="1"/>
  <c r="G725" i="1"/>
  <c r="L725" i="1" s="1"/>
  <c r="G724" i="1"/>
  <c r="L724" i="1" s="1"/>
  <c r="G723" i="1"/>
  <c r="L723" i="1" s="1"/>
  <c r="G722" i="1"/>
  <c r="L722" i="1" s="1"/>
  <c r="G721" i="1"/>
  <c r="L721" i="1" s="1"/>
  <c r="G720" i="1"/>
  <c r="L720" i="1" s="1"/>
  <c r="G719" i="1"/>
  <c r="L719" i="1" s="1"/>
  <c r="G718" i="1"/>
  <c r="L718" i="1" s="1"/>
  <c r="G717" i="1"/>
  <c r="L717" i="1" s="1"/>
  <c r="G716" i="1"/>
  <c r="L716" i="1" s="1"/>
  <c r="G715" i="1"/>
  <c r="L715" i="1" s="1"/>
  <c r="G714" i="1"/>
  <c r="L714" i="1" s="1"/>
  <c r="G713" i="1"/>
  <c r="L713" i="1" s="1"/>
  <c r="G712" i="1"/>
  <c r="L712" i="1" s="1"/>
  <c r="G711" i="1"/>
  <c r="L711" i="1" s="1"/>
  <c r="G710" i="1"/>
  <c r="L710" i="1" s="1"/>
  <c r="G709" i="1"/>
  <c r="L709" i="1" s="1"/>
  <c r="G708" i="1"/>
  <c r="L708" i="1" s="1"/>
  <c r="G707" i="1"/>
  <c r="L707" i="1" s="1"/>
  <c r="G706" i="1"/>
  <c r="L706" i="1" s="1"/>
  <c r="G705" i="1"/>
  <c r="L705" i="1" s="1"/>
  <c r="G704" i="1"/>
  <c r="L704" i="1" s="1"/>
  <c r="G703" i="1"/>
  <c r="L703" i="1" s="1"/>
  <c r="G702" i="1"/>
  <c r="L702" i="1" s="1"/>
  <c r="G701" i="1"/>
  <c r="L701" i="1" s="1"/>
  <c r="G700" i="1"/>
  <c r="L700" i="1" s="1"/>
  <c r="G699" i="1"/>
  <c r="L699" i="1" s="1"/>
  <c r="G698" i="1"/>
  <c r="L698" i="1" s="1"/>
  <c r="G697" i="1"/>
  <c r="L697" i="1" s="1"/>
  <c r="G696" i="1"/>
  <c r="L696" i="1" s="1"/>
  <c r="G695" i="1"/>
  <c r="L695" i="1" s="1"/>
  <c r="G694" i="1"/>
  <c r="L694" i="1" s="1"/>
  <c r="G693" i="1"/>
  <c r="L693" i="1" s="1"/>
  <c r="G692" i="1"/>
  <c r="L692" i="1" s="1"/>
  <c r="G691" i="1"/>
  <c r="L691" i="1" s="1"/>
  <c r="G690" i="1"/>
  <c r="L690" i="1" s="1"/>
  <c r="G689" i="1"/>
  <c r="L689" i="1" s="1"/>
  <c r="G688" i="1"/>
  <c r="L688" i="1" s="1"/>
  <c r="G687" i="1"/>
  <c r="L687" i="1" s="1"/>
  <c r="G686" i="1"/>
  <c r="L686" i="1" s="1"/>
  <c r="G685" i="1"/>
  <c r="L685" i="1" s="1"/>
  <c r="G684" i="1"/>
  <c r="L684" i="1" s="1"/>
  <c r="G683" i="1"/>
  <c r="L683" i="1" s="1"/>
  <c r="G682" i="1"/>
  <c r="L682" i="1" s="1"/>
  <c r="G681" i="1"/>
  <c r="L681" i="1" s="1"/>
  <c r="G680" i="1"/>
  <c r="L680" i="1" s="1"/>
  <c r="G679" i="1"/>
  <c r="L679" i="1" s="1"/>
  <c r="G678" i="1"/>
  <c r="L678" i="1" s="1"/>
  <c r="G677" i="1"/>
  <c r="L677" i="1" s="1"/>
  <c r="G676" i="1"/>
  <c r="L676" i="1" s="1"/>
  <c r="G675" i="1"/>
  <c r="L675" i="1" s="1"/>
  <c r="G674" i="1"/>
  <c r="L674" i="1" s="1"/>
  <c r="G673" i="1"/>
  <c r="L673" i="1" s="1"/>
  <c r="G672" i="1"/>
  <c r="L672" i="1" s="1"/>
  <c r="G671" i="1"/>
  <c r="L671" i="1" s="1"/>
  <c r="G670" i="1"/>
  <c r="L670" i="1" s="1"/>
  <c r="G669" i="1"/>
  <c r="L669" i="1" s="1"/>
  <c r="G668" i="1"/>
  <c r="L668" i="1" s="1"/>
  <c r="G667" i="1"/>
  <c r="L667" i="1" s="1"/>
  <c r="G666" i="1"/>
  <c r="L666" i="1" s="1"/>
  <c r="G665" i="1"/>
  <c r="L665" i="1" s="1"/>
  <c r="G664" i="1"/>
  <c r="L664" i="1" s="1"/>
  <c r="G663" i="1"/>
  <c r="L663" i="1" s="1"/>
  <c r="G662" i="1"/>
  <c r="L662" i="1" s="1"/>
  <c r="G661" i="1"/>
  <c r="L661" i="1" s="1"/>
  <c r="G660" i="1"/>
  <c r="L660" i="1" s="1"/>
  <c r="G659" i="1"/>
  <c r="L659" i="1" s="1"/>
  <c r="G658" i="1"/>
  <c r="L658" i="1" s="1"/>
  <c r="G657" i="1"/>
  <c r="L657" i="1" s="1"/>
  <c r="G656" i="1"/>
  <c r="L656" i="1" s="1"/>
  <c r="G655" i="1"/>
  <c r="L655" i="1" s="1"/>
  <c r="G654" i="1"/>
  <c r="L654" i="1" s="1"/>
  <c r="G653" i="1"/>
  <c r="L653" i="1" s="1"/>
  <c r="G652" i="1"/>
  <c r="L652" i="1" s="1"/>
  <c r="G651" i="1"/>
  <c r="L651" i="1" s="1"/>
  <c r="G650" i="1"/>
  <c r="L650" i="1" s="1"/>
  <c r="G649" i="1"/>
  <c r="L649" i="1" s="1"/>
  <c r="G648" i="1"/>
  <c r="L648" i="1" s="1"/>
  <c r="G647" i="1"/>
  <c r="L647" i="1" s="1"/>
  <c r="G646" i="1"/>
  <c r="L646" i="1" s="1"/>
  <c r="G645" i="1"/>
  <c r="L645" i="1" s="1"/>
  <c r="G644" i="1"/>
  <c r="L644" i="1" s="1"/>
  <c r="G643" i="1"/>
  <c r="L643" i="1" s="1"/>
  <c r="G642" i="1"/>
  <c r="L642" i="1" s="1"/>
  <c r="G641" i="1"/>
  <c r="L641" i="1" s="1"/>
  <c r="G640" i="1"/>
  <c r="L640" i="1" s="1"/>
  <c r="G639" i="1"/>
  <c r="L639" i="1" s="1"/>
  <c r="G638" i="1"/>
  <c r="L638" i="1" s="1"/>
  <c r="G637" i="1"/>
  <c r="L637" i="1" s="1"/>
  <c r="G636" i="1"/>
  <c r="L636" i="1" s="1"/>
  <c r="G635" i="1"/>
  <c r="L635" i="1" s="1"/>
  <c r="G634" i="1"/>
  <c r="L634" i="1" s="1"/>
  <c r="G633" i="1"/>
  <c r="L633" i="1" s="1"/>
  <c r="G632" i="1"/>
  <c r="L632" i="1" s="1"/>
  <c r="G631" i="1"/>
  <c r="L631" i="1" s="1"/>
  <c r="G630" i="1"/>
  <c r="L630" i="1" s="1"/>
  <c r="G629" i="1"/>
  <c r="L629" i="1" s="1"/>
  <c r="G628" i="1"/>
  <c r="L628" i="1" s="1"/>
  <c r="G627" i="1"/>
  <c r="L627" i="1" s="1"/>
  <c r="G626" i="1"/>
  <c r="L626" i="1" s="1"/>
  <c r="G625" i="1"/>
  <c r="L625" i="1" s="1"/>
  <c r="G624" i="1"/>
  <c r="L624" i="1" s="1"/>
  <c r="G623" i="1"/>
  <c r="L623" i="1" s="1"/>
  <c r="G622" i="1"/>
  <c r="L622" i="1" s="1"/>
  <c r="G621" i="1"/>
  <c r="L621" i="1" s="1"/>
  <c r="G620" i="1"/>
  <c r="L620" i="1" s="1"/>
  <c r="G619" i="1"/>
  <c r="L619" i="1" s="1"/>
  <c r="G618" i="1"/>
  <c r="L618" i="1" s="1"/>
  <c r="G617" i="1"/>
  <c r="L617" i="1" s="1"/>
  <c r="G616" i="1"/>
  <c r="L616" i="1" s="1"/>
  <c r="G615" i="1"/>
  <c r="L615" i="1" s="1"/>
  <c r="G614" i="1"/>
  <c r="L614" i="1" s="1"/>
  <c r="G613" i="1"/>
  <c r="L613" i="1" s="1"/>
  <c r="G612" i="1"/>
  <c r="L612" i="1" s="1"/>
  <c r="G611" i="1"/>
  <c r="L611" i="1" s="1"/>
  <c r="G610" i="1"/>
  <c r="L610" i="1" s="1"/>
  <c r="G609" i="1"/>
  <c r="L609" i="1" s="1"/>
  <c r="G608" i="1"/>
  <c r="L608" i="1" s="1"/>
  <c r="G607" i="1"/>
  <c r="L607" i="1" s="1"/>
  <c r="G606" i="1"/>
  <c r="L606" i="1" s="1"/>
  <c r="G605" i="1"/>
  <c r="L605" i="1" s="1"/>
  <c r="G604" i="1"/>
  <c r="L604" i="1" s="1"/>
  <c r="G603" i="1"/>
  <c r="L603" i="1" s="1"/>
  <c r="G602" i="1"/>
  <c r="L602" i="1" s="1"/>
  <c r="G601" i="1"/>
  <c r="L601" i="1" s="1"/>
  <c r="G600" i="1"/>
  <c r="L600" i="1" s="1"/>
  <c r="G599" i="1"/>
  <c r="L599" i="1" s="1"/>
  <c r="G598" i="1"/>
  <c r="L598" i="1" s="1"/>
  <c r="G597" i="1"/>
  <c r="L597" i="1" s="1"/>
  <c r="G596" i="1"/>
  <c r="L596" i="1" s="1"/>
  <c r="G595" i="1"/>
  <c r="L595" i="1" s="1"/>
  <c r="G594" i="1"/>
  <c r="L594" i="1" s="1"/>
  <c r="G593" i="1"/>
  <c r="L593" i="1" s="1"/>
  <c r="G592" i="1"/>
  <c r="L592" i="1" s="1"/>
  <c r="G591" i="1"/>
  <c r="L591" i="1" s="1"/>
  <c r="G590" i="1"/>
  <c r="L590" i="1" s="1"/>
  <c r="G589" i="1"/>
  <c r="L589" i="1" s="1"/>
  <c r="G588" i="1"/>
  <c r="L588" i="1" s="1"/>
  <c r="G587" i="1"/>
  <c r="L587" i="1" s="1"/>
  <c r="G586" i="1"/>
  <c r="L586" i="1" s="1"/>
  <c r="G585" i="1"/>
  <c r="L585" i="1" s="1"/>
  <c r="G584" i="1"/>
  <c r="L584" i="1" s="1"/>
  <c r="G583" i="1"/>
  <c r="L583" i="1" s="1"/>
  <c r="G582" i="1"/>
  <c r="L582" i="1" s="1"/>
  <c r="G581" i="1"/>
  <c r="L581" i="1" s="1"/>
  <c r="G580" i="1"/>
  <c r="L580" i="1" s="1"/>
  <c r="G579" i="1"/>
  <c r="L579" i="1" s="1"/>
  <c r="G578" i="1"/>
  <c r="L578" i="1" s="1"/>
  <c r="G577" i="1"/>
  <c r="L577" i="1" s="1"/>
  <c r="G576" i="1"/>
  <c r="L576" i="1" s="1"/>
  <c r="G575" i="1"/>
  <c r="L575" i="1" s="1"/>
  <c r="G574" i="1"/>
  <c r="L574" i="1" s="1"/>
  <c r="G573" i="1"/>
  <c r="L573" i="1" s="1"/>
  <c r="G572" i="1"/>
  <c r="L572" i="1" s="1"/>
  <c r="G571" i="1"/>
  <c r="L571" i="1" s="1"/>
  <c r="G570" i="1"/>
  <c r="L570" i="1" s="1"/>
  <c r="G569" i="1"/>
  <c r="L569" i="1" s="1"/>
  <c r="G568" i="1"/>
  <c r="L568" i="1" s="1"/>
  <c r="G567" i="1"/>
  <c r="L567" i="1" s="1"/>
  <c r="G566" i="1"/>
  <c r="L566" i="1" s="1"/>
  <c r="G565" i="1"/>
  <c r="L565" i="1" s="1"/>
  <c r="G564" i="1"/>
  <c r="L564" i="1" s="1"/>
  <c r="G563" i="1"/>
  <c r="L563" i="1" s="1"/>
  <c r="G562" i="1"/>
  <c r="L562" i="1" s="1"/>
  <c r="G561" i="1"/>
  <c r="L561" i="1" s="1"/>
  <c r="G560" i="1"/>
  <c r="L560" i="1" s="1"/>
  <c r="G559" i="1"/>
  <c r="L559" i="1" s="1"/>
  <c r="G558" i="1"/>
  <c r="L558" i="1" s="1"/>
  <c r="G557" i="1"/>
  <c r="L557" i="1" s="1"/>
  <c r="G556" i="1"/>
  <c r="L556" i="1" s="1"/>
  <c r="G555" i="1"/>
  <c r="L555" i="1" s="1"/>
  <c r="G554" i="1"/>
  <c r="L554" i="1" s="1"/>
  <c r="G553" i="1"/>
  <c r="L553" i="1" s="1"/>
  <c r="G552" i="1"/>
  <c r="L552" i="1" s="1"/>
  <c r="G551" i="1"/>
  <c r="L551" i="1" s="1"/>
  <c r="G550" i="1"/>
  <c r="L550" i="1" s="1"/>
  <c r="G549" i="1"/>
  <c r="L549" i="1" s="1"/>
  <c r="G548" i="1"/>
  <c r="L548" i="1" s="1"/>
  <c r="G547" i="1"/>
  <c r="L547" i="1" s="1"/>
  <c r="G546" i="1"/>
  <c r="L546" i="1" s="1"/>
  <c r="G545" i="1"/>
  <c r="L545" i="1" s="1"/>
  <c r="G544" i="1"/>
  <c r="L544" i="1" s="1"/>
  <c r="G543" i="1"/>
  <c r="L543" i="1" s="1"/>
  <c r="G542" i="1"/>
  <c r="L542" i="1" s="1"/>
  <c r="G541" i="1"/>
  <c r="L541" i="1" s="1"/>
  <c r="G540" i="1"/>
  <c r="L540" i="1" s="1"/>
  <c r="G539" i="1"/>
  <c r="L539" i="1" s="1"/>
  <c r="G538" i="1"/>
  <c r="L538" i="1" s="1"/>
  <c r="G537" i="1"/>
  <c r="L537" i="1" s="1"/>
  <c r="G536" i="1"/>
  <c r="L536" i="1" s="1"/>
  <c r="G535" i="1"/>
  <c r="L535" i="1" s="1"/>
  <c r="G534" i="1"/>
  <c r="L534" i="1" s="1"/>
  <c r="G533" i="1"/>
  <c r="L533" i="1" s="1"/>
  <c r="G532" i="1"/>
  <c r="L532" i="1" s="1"/>
  <c r="G531" i="1"/>
  <c r="L531" i="1" s="1"/>
  <c r="G530" i="1"/>
  <c r="L530" i="1" s="1"/>
  <c r="G529" i="1"/>
  <c r="L529" i="1" s="1"/>
  <c r="G528" i="1"/>
  <c r="L528" i="1" s="1"/>
  <c r="G527" i="1"/>
  <c r="L527" i="1" s="1"/>
  <c r="G526" i="1"/>
  <c r="L526" i="1" s="1"/>
  <c r="G525" i="1"/>
  <c r="L525" i="1" s="1"/>
  <c r="G524" i="1"/>
  <c r="L524" i="1" s="1"/>
  <c r="G523" i="1"/>
  <c r="L523" i="1" s="1"/>
  <c r="G522" i="1"/>
  <c r="L522" i="1" s="1"/>
  <c r="G521" i="1"/>
  <c r="L521" i="1" s="1"/>
  <c r="G520" i="1"/>
  <c r="L520" i="1" s="1"/>
  <c r="G519" i="1"/>
  <c r="L519" i="1" s="1"/>
  <c r="G518" i="1"/>
  <c r="L518" i="1" s="1"/>
  <c r="G517" i="1"/>
  <c r="L517" i="1" s="1"/>
  <c r="G516" i="1"/>
  <c r="L516" i="1" s="1"/>
  <c r="G515" i="1"/>
  <c r="L515" i="1" s="1"/>
  <c r="G514" i="1"/>
  <c r="L514" i="1" s="1"/>
  <c r="G513" i="1"/>
  <c r="L513" i="1" s="1"/>
  <c r="G512" i="1"/>
  <c r="L512" i="1" s="1"/>
  <c r="G511" i="1"/>
  <c r="L511" i="1" s="1"/>
  <c r="G510" i="1"/>
  <c r="L510" i="1" s="1"/>
  <c r="G509" i="1"/>
  <c r="L509" i="1" s="1"/>
  <c r="G508" i="1"/>
  <c r="L508" i="1" s="1"/>
  <c r="G507" i="1"/>
  <c r="L507" i="1" s="1"/>
  <c r="G506" i="1"/>
  <c r="L506" i="1" s="1"/>
  <c r="G505" i="1"/>
  <c r="L505" i="1" s="1"/>
  <c r="G504" i="1"/>
  <c r="L504" i="1" s="1"/>
  <c r="G503" i="1"/>
  <c r="L503" i="1" s="1"/>
  <c r="G502" i="1"/>
  <c r="L502" i="1" s="1"/>
  <c r="G501" i="1"/>
  <c r="L501" i="1" s="1"/>
  <c r="G500" i="1"/>
  <c r="L500" i="1" s="1"/>
  <c r="G499" i="1"/>
  <c r="L499" i="1" s="1"/>
  <c r="G498" i="1"/>
  <c r="L498" i="1" s="1"/>
  <c r="G497" i="1"/>
  <c r="L497" i="1" s="1"/>
  <c r="G496" i="1"/>
  <c r="L496" i="1" s="1"/>
  <c r="G495" i="1"/>
  <c r="L495" i="1" s="1"/>
  <c r="G494" i="1"/>
  <c r="L494" i="1" s="1"/>
  <c r="G493" i="1"/>
  <c r="L493" i="1" s="1"/>
  <c r="G492" i="1"/>
  <c r="L492" i="1" s="1"/>
  <c r="G491" i="1"/>
  <c r="L491" i="1" s="1"/>
  <c r="G490" i="1"/>
  <c r="L490" i="1" s="1"/>
  <c r="G489" i="1"/>
  <c r="L489" i="1" s="1"/>
  <c r="G488" i="1"/>
  <c r="L488" i="1" s="1"/>
  <c r="G487" i="1"/>
  <c r="L487" i="1" s="1"/>
  <c r="G486" i="1"/>
  <c r="L486" i="1" s="1"/>
  <c r="G485" i="1"/>
  <c r="L485" i="1" s="1"/>
  <c r="G484" i="1"/>
  <c r="L484" i="1" s="1"/>
  <c r="G483" i="1"/>
  <c r="L483" i="1" s="1"/>
  <c r="G482" i="1"/>
  <c r="L482" i="1" s="1"/>
  <c r="G481" i="1"/>
  <c r="L481" i="1" s="1"/>
  <c r="G480" i="1"/>
  <c r="L480" i="1" s="1"/>
  <c r="G479" i="1"/>
  <c r="L479" i="1" s="1"/>
  <c r="G478" i="1"/>
  <c r="L478" i="1" s="1"/>
  <c r="G477" i="1"/>
  <c r="L477" i="1" s="1"/>
  <c r="G476" i="1"/>
  <c r="L476" i="1" s="1"/>
  <c r="G475" i="1"/>
  <c r="L475" i="1" s="1"/>
  <c r="G474" i="1"/>
  <c r="L474" i="1" s="1"/>
  <c r="G473" i="1"/>
  <c r="L473" i="1" s="1"/>
  <c r="G472" i="1"/>
  <c r="L472" i="1" s="1"/>
  <c r="G471" i="1"/>
  <c r="L471" i="1" s="1"/>
  <c r="G470" i="1"/>
  <c r="L470" i="1" s="1"/>
  <c r="G469" i="1"/>
  <c r="L469" i="1" s="1"/>
  <c r="G468" i="1"/>
  <c r="L468" i="1" s="1"/>
  <c r="G467" i="1"/>
  <c r="L467" i="1" s="1"/>
  <c r="G466" i="1"/>
  <c r="L466" i="1" s="1"/>
  <c r="G465" i="1"/>
  <c r="L465" i="1" s="1"/>
  <c r="G464" i="1"/>
  <c r="L464" i="1" s="1"/>
  <c r="G463" i="1"/>
  <c r="L463" i="1" s="1"/>
  <c r="G462" i="1"/>
  <c r="L462" i="1" s="1"/>
  <c r="G461" i="1"/>
  <c r="L461" i="1" s="1"/>
  <c r="G460" i="1"/>
  <c r="L460" i="1" s="1"/>
  <c r="G459" i="1"/>
  <c r="L459" i="1" s="1"/>
  <c r="G458" i="1"/>
  <c r="L458" i="1" s="1"/>
  <c r="G457" i="1"/>
  <c r="L457" i="1" s="1"/>
  <c r="G456" i="1"/>
  <c r="L456" i="1" s="1"/>
  <c r="G455" i="1"/>
  <c r="L455" i="1" s="1"/>
  <c r="G454" i="1"/>
  <c r="L454" i="1" s="1"/>
  <c r="G453" i="1"/>
  <c r="L453" i="1" s="1"/>
  <c r="G452" i="1"/>
  <c r="L452" i="1" s="1"/>
  <c r="G451" i="1"/>
  <c r="L451" i="1" s="1"/>
  <c r="G450" i="1"/>
  <c r="L450" i="1" s="1"/>
  <c r="G449" i="1"/>
  <c r="L449" i="1" s="1"/>
  <c r="G448" i="1"/>
  <c r="L448" i="1" s="1"/>
  <c r="G447" i="1"/>
  <c r="L447" i="1" s="1"/>
  <c r="G446" i="1"/>
  <c r="L446" i="1" s="1"/>
  <c r="G445" i="1"/>
  <c r="L445" i="1" s="1"/>
  <c r="G444" i="1"/>
  <c r="L444" i="1" s="1"/>
  <c r="G443" i="1"/>
  <c r="L443" i="1" s="1"/>
  <c r="G442" i="1"/>
  <c r="L442" i="1" s="1"/>
  <c r="G441" i="1"/>
  <c r="L441" i="1" s="1"/>
  <c r="G440" i="1"/>
  <c r="L440" i="1" s="1"/>
  <c r="G439" i="1"/>
  <c r="L439" i="1" s="1"/>
  <c r="G438" i="1"/>
  <c r="L438" i="1" s="1"/>
  <c r="G437" i="1"/>
  <c r="L437" i="1" s="1"/>
  <c r="G436" i="1"/>
  <c r="L436" i="1" s="1"/>
  <c r="G435" i="1"/>
  <c r="L435" i="1" s="1"/>
  <c r="G434" i="1"/>
  <c r="L434" i="1" s="1"/>
  <c r="G433" i="1"/>
  <c r="L433" i="1" s="1"/>
  <c r="G432" i="1"/>
  <c r="L432" i="1" s="1"/>
  <c r="G431" i="1"/>
  <c r="L431" i="1" s="1"/>
  <c r="G430" i="1"/>
  <c r="L430" i="1" s="1"/>
  <c r="G429" i="1"/>
  <c r="L429" i="1" s="1"/>
  <c r="G428" i="1"/>
  <c r="L428" i="1" s="1"/>
  <c r="G427" i="1"/>
  <c r="L427" i="1" s="1"/>
  <c r="G426" i="1"/>
  <c r="L426" i="1" s="1"/>
  <c r="G425" i="1"/>
  <c r="L425" i="1" s="1"/>
  <c r="G424" i="1"/>
  <c r="L424" i="1" s="1"/>
  <c r="G423" i="1"/>
  <c r="L423" i="1" s="1"/>
  <c r="G422" i="1"/>
  <c r="L422" i="1" s="1"/>
  <c r="G421" i="1"/>
  <c r="L421" i="1" s="1"/>
  <c r="G420" i="1"/>
  <c r="L420" i="1" s="1"/>
  <c r="G419" i="1"/>
  <c r="L419" i="1" s="1"/>
  <c r="G418" i="1"/>
  <c r="L418" i="1" s="1"/>
  <c r="G417" i="1"/>
  <c r="L417" i="1" s="1"/>
  <c r="G416" i="1"/>
  <c r="L416" i="1" s="1"/>
  <c r="G415" i="1"/>
  <c r="L415" i="1" s="1"/>
  <c r="G414" i="1"/>
  <c r="L414" i="1" s="1"/>
  <c r="G413" i="1"/>
  <c r="L413" i="1" s="1"/>
  <c r="G412" i="1"/>
  <c r="L412" i="1" s="1"/>
  <c r="G411" i="1"/>
  <c r="L411" i="1" s="1"/>
  <c r="G410" i="1"/>
  <c r="L410" i="1" s="1"/>
  <c r="G409" i="1"/>
  <c r="L409" i="1" s="1"/>
  <c r="G408" i="1"/>
  <c r="L408" i="1" s="1"/>
  <c r="G407" i="1"/>
  <c r="L407" i="1" s="1"/>
  <c r="G406" i="1"/>
  <c r="L406" i="1" s="1"/>
  <c r="G405" i="1"/>
  <c r="L405" i="1" s="1"/>
  <c r="G404" i="1"/>
  <c r="L404" i="1" s="1"/>
  <c r="G403" i="1"/>
  <c r="L403" i="1" s="1"/>
  <c r="G402" i="1"/>
  <c r="L402" i="1" s="1"/>
  <c r="G401" i="1"/>
  <c r="L401" i="1" s="1"/>
  <c r="G400" i="1"/>
  <c r="L400" i="1" s="1"/>
  <c r="G399" i="1"/>
  <c r="L399" i="1" s="1"/>
  <c r="G398" i="1"/>
  <c r="L398" i="1" s="1"/>
  <c r="G397" i="1"/>
  <c r="L397" i="1" s="1"/>
  <c r="G396" i="1"/>
  <c r="L396" i="1" s="1"/>
  <c r="G395" i="1"/>
  <c r="L395" i="1" s="1"/>
  <c r="G394" i="1"/>
  <c r="L394" i="1" s="1"/>
  <c r="G393" i="1"/>
  <c r="L393" i="1" s="1"/>
  <c r="G392" i="1"/>
  <c r="L392" i="1" s="1"/>
  <c r="G391" i="1"/>
  <c r="L391" i="1" s="1"/>
  <c r="G390" i="1"/>
  <c r="L390" i="1" s="1"/>
  <c r="G389" i="1"/>
  <c r="L389" i="1" s="1"/>
  <c r="G388" i="1"/>
  <c r="L388" i="1" s="1"/>
  <c r="G387" i="1"/>
  <c r="L387" i="1" s="1"/>
  <c r="G386" i="1"/>
  <c r="L386" i="1" s="1"/>
  <c r="G385" i="1"/>
  <c r="L385" i="1" s="1"/>
  <c r="G384" i="1"/>
  <c r="L384" i="1" s="1"/>
  <c r="G383" i="1"/>
  <c r="L383" i="1" s="1"/>
  <c r="G382" i="1"/>
  <c r="L382" i="1" s="1"/>
  <c r="G381" i="1"/>
  <c r="L381" i="1" s="1"/>
  <c r="G380" i="1"/>
  <c r="L380" i="1" s="1"/>
  <c r="G379" i="1"/>
  <c r="L379" i="1" s="1"/>
  <c r="G378" i="1"/>
  <c r="L378" i="1" s="1"/>
  <c r="G377" i="1"/>
  <c r="L377" i="1" s="1"/>
  <c r="G376" i="1"/>
  <c r="L376" i="1" s="1"/>
  <c r="G375" i="1"/>
  <c r="L375" i="1" s="1"/>
  <c r="G374" i="1"/>
  <c r="L374" i="1" s="1"/>
  <c r="G373" i="1"/>
  <c r="L373" i="1" s="1"/>
  <c r="G372" i="1"/>
  <c r="L372" i="1" s="1"/>
  <c r="G371" i="1"/>
  <c r="L371" i="1" s="1"/>
  <c r="G370" i="1"/>
  <c r="L370" i="1" s="1"/>
  <c r="G369" i="1"/>
  <c r="L369" i="1" s="1"/>
  <c r="G368" i="1"/>
  <c r="L368" i="1" s="1"/>
  <c r="G367" i="1"/>
  <c r="L367" i="1" s="1"/>
  <c r="G366" i="1"/>
  <c r="L366" i="1" s="1"/>
  <c r="G365" i="1"/>
  <c r="L365" i="1" s="1"/>
  <c r="G364" i="1"/>
  <c r="L364" i="1" s="1"/>
  <c r="G363" i="1"/>
  <c r="L363" i="1" s="1"/>
  <c r="G362" i="1"/>
  <c r="L362" i="1" s="1"/>
  <c r="G361" i="1"/>
  <c r="L361" i="1" s="1"/>
  <c r="G360" i="1"/>
  <c r="L360" i="1" s="1"/>
  <c r="G359" i="1"/>
  <c r="L359" i="1" s="1"/>
  <c r="G358" i="1"/>
  <c r="L358" i="1" s="1"/>
  <c r="G357" i="1"/>
  <c r="L357" i="1" s="1"/>
  <c r="G356" i="1"/>
  <c r="L356" i="1" s="1"/>
  <c r="G355" i="1"/>
  <c r="L355" i="1" s="1"/>
  <c r="G354" i="1"/>
  <c r="L354" i="1" s="1"/>
  <c r="G353" i="1"/>
  <c r="L353" i="1" s="1"/>
  <c r="G352" i="1"/>
  <c r="L352" i="1" s="1"/>
  <c r="G351" i="1"/>
  <c r="L351" i="1" s="1"/>
  <c r="G350" i="1"/>
  <c r="L350" i="1" s="1"/>
  <c r="G349" i="1"/>
  <c r="L349" i="1" s="1"/>
  <c r="G348" i="1"/>
  <c r="L348" i="1" s="1"/>
  <c r="G347" i="1"/>
  <c r="L347" i="1" s="1"/>
  <c r="G346" i="1"/>
  <c r="L346" i="1" s="1"/>
  <c r="G345" i="1"/>
  <c r="L345" i="1" s="1"/>
  <c r="G344" i="1"/>
  <c r="L344" i="1" s="1"/>
  <c r="G343" i="1"/>
  <c r="L343" i="1" s="1"/>
  <c r="G342" i="1"/>
  <c r="L342" i="1" s="1"/>
  <c r="G341" i="1"/>
  <c r="L341" i="1" s="1"/>
  <c r="G340" i="1"/>
  <c r="L340" i="1" s="1"/>
  <c r="G339" i="1"/>
  <c r="L339" i="1" s="1"/>
  <c r="G338" i="1"/>
  <c r="L338" i="1" s="1"/>
  <c r="G337" i="1"/>
  <c r="L337" i="1" s="1"/>
  <c r="G336" i="1"/>
  <c r="L336" i="1" s="1"/>
  <c r="G335" i="1"/>
  <c r="L335" i="1" s="1"/>
  <c r="G334" i="1"/>
  <c r="L334" i="1" s="1"/>
  <c r="G333" i="1"/>
  <c r="L333" i="1" s="1"/>
  <c r="G332" i="1"/>
  <c r="L332" i="1" s="1"/>
  <c r="G331" i="1"/>
  <c r="L331" i="1" s="1"/>
  <c r="G330" i="1"/>
  <c r="L330" i="1" s="1"/>
  <c r="G329" i="1"/>
  <c r="L329" i="1" s="1"/>
  <c r="G328" i="1"/>
  <c r="L328" i="1" s="1"/>
  <c r="G327" i="1"/>
  <c r="L327" i="1" s="1"/>
  <c r="G326" i="1"/>
  <c r="L326" i="1" s="1"/>
  <c r="G325" i="1"/>
  <c r="L325" i="1" s="1"/>
  <c r="G324" i="1"/>
  <c r="L324" i="1" s="1"/>
  <c r="G323" i="1"/>
  <c r="L323" i="1" s="1"/>
  <c r="G322" i="1"/>
  <c r="L322" i="1" s="1"/>
  <c r="G321" i="1"/>
  <c r="L321" i="1" s="1"/>
  <c r="G320" i="1"/>
  <c r="L320" i="1" s="1"/>
  <c r="G319" i="1"/>
  <c r="L319" i="1" s="1"/>
  <c r="G318" i="1"/>
  <c r="L318" i="1" s="1"/>
  <c r="G317" i="1"/>
  <c r="L317" i="1" s="1"/>
  <c r="G316" i="1"/>
  <c r="L316" i="1" s="1"/>
  <c r="G315" i="1"/>
  <c r="L315" i="1" s="1"/>
  <c r="G314" i="1"/>
  <c r="L314" i="1" s="1"/>
  <c r="G313" i="1"/>
  <c r="L313" i="1" s="1"/>
  <c r="G312" i="1"/>
  <c r="L312" i="1" s="1"/>
  <c r="G311" i="1"/>
  <c r="L311" i="1" s="1"/>
  <c r="G310" i="1"/>
  <c r="L310" i="1" s="1"/>
  <c r="G309" i="1"/>
  <c r="L309" i="1" s="1"/>
  <c r="G308" i="1"/>
  <c r="L308" i="1" s="1"/>
  <c r="G307" i="1"/>
  <c r="L307" i="1" s="1"/>
  <c r="G306" i="1"/>
  <c r="L306" i="1" s="1"/>
  <c r="G305" i="1"/>
  <c r="L305" i="1" s="1"/>
  <c r="G304" i="1"/>
  <c r="L304" i="1" s="1"/>
  <c r="G303" i="1"/>
  <c r="L303" i="1" s="1"/>
  <c r="G302" i="1"/>
  <c r="L302" i="1" s="1"/>
  <c r="G301" i="1"/>
  <c r="L301" i="1" s="1"/>
  <c r="G300" i="1"/>
  <c r="L300" i="1" s="1"/>
  <c r="G299" i="1"/>
  <c r="L299" i="1" s="1"/>
  <c r="G298" i="1"/>
  <c r="L298" i="1" s="1"/>
  <c r="G297" i="1"/>
  <c r="L297" i="1" s="1"/>
  <c r="G296" i="1"/>
  <c r="L296" i="1" s="1"/>
  <c r="G295" i="1"/>
  <c r="L295" i="1" s="1"/>
  <c r="G294" i="1"/>
  <c r="L294" i="1" s="1"/>
  <c r="G293" i="1"/>
  <c r="L293" i="1" s="1"/>
  <c r="G292" i="1"/>
  <c r="L292" i="1" s="1"/>
  <c r="G291" i="1"/>
  <c r="L291" i="1" s="1"/>
  <c r="G290" i="1"/>
  <c r="L290" i="1" s="1"/>
  <c r="G289" i="1"/>
  <c r="L289" i="1" s="1"/>
  <c r="G288" i="1"/>
  <c r="L288" i="1" s="1"/>
  <c r="G287" i="1"/>
  <c r="L287" i="1" s="1"/>
  <c r="G286" i="1"/>
  <c r="L286" i="1" s="1"/>
  <c r="G285" i="1"/>
  <c r="L285" i="1" s="1"/>
  <c r="G284" i="1"/>
  <c r="L284" i="1" s="1"/>
  <c r="G283" i="1"/>
  <c r="L283" i="1" s="1"/>
  <c r="G282" i="1"/>
  <c r="L282" i="1" s="1"/>
  <c r="G281" i="1"/>
  <c r="L281" i="1" s="1"/>
  <c r="G280" i="1"/>
  <c r="L280" i="1" s="1"/>
  <c r="G279" i="1"/>
  <c r="L279" i="1" s="1"/>
  <c r="G278" i="1"/>
  <c r="L278" i="1" s="1"/>
  <c r="G277" i="1"/>
  <c r="L277" i="1" s="1"/>
  <c r="G276" i="1"/>
  <c r="L276" i="1" s="1"/>
  <c r="G275" i="1"/>
  <c r="L275" i="1" s="1"/>
  <c r="G274" i="1"/>
  <c r="L274" i="1" s="1"/>
  <c r="G273" i="1"/>
  <c r="L273" i="1" s="1"/>
  <c r="G272" i="1"/>
  <c r="L272" i="1" s="1"/>
  <c r="G271" i="1"/>
  <c r="L271" i="1" s="1"/>
  <c r="G270" i="1"/>
  <c r="L270" i="1" s="1"/>
  <c r="G269" i="1"/>
  <c r="L269" i="1" s="1"/>
  <c r="G268" i="1"/>
  <c r="L268" i="1" s="1"/>
  <c r="G267" i="1"/>
  <c r="L267" i="1" s="1"/>
  <c r="G266" i="1"/>
  <c r="L266" i="1" s="1"/>
  <c r="G265" i="1"/>
  <c r="L265" i="1" s="1"/>
  <c r="G264" i="1"/>
  <c r="L264" i="1" s="1"/>
  <c r="G263" i="1"/>
  <c r="L263" i="1" s="1"/>
  <c r="G262" i="1"/>
  <c r="L262" i="1" s="1"/>
  <c r="G261" i="1"/>
  <c r="L261" i="1" s="1"/>
  <c r="G260" i="1"/>
  <c r="L260" i="1" s="1"/>
  <c r="G259" i="1"/>
  <c r="L259" i="1" s="1"/>
  <c r="G258" i="1"/>
  <c r="L258" i="1" s="1"/>
  <c r="G257" i="1"/>
  <c r="L257" i="1" s="1"/>
  <c r="G256" i="1"/>
  <c r="L256" i="1" s="1"/>
  <c r="G255" i="1"/>
  <c r="L255" i="1" s="1"/>
  <c r="G254" i="1"/>
  <c r="L254" i="1" s="1"/>
  <c r="G253" i="1"/>
  <c r="L253" i="1" s="1"/>
  <c r="G252" i="1"/>
  <c r="L252" i="1" s="1"/>
  <c r="G251" i="1"/>
  <c r="L251" i="1" s="1"/>
  <c r="G250" i="1"/>
  <c r="L250" i="1" s="1"/>
  <c r="G249" i="1"/>
  <c r="L249" i="1" s="1"/>
  <c r="G248" i="1"/>
  <c r="L248" i="1" s="1"/>
  <c r="G247" i="1"/>
  <c r="L247" i="1" s="1"/>
  <c r="G246" i="1"/>
  <c r="L246" i="1" s="1"/>
  <c r="G245" i="1"/>
  <c r="L245" i="1" s="1"/>
  <c r="G244" i="1"/>
  <c r="L244" i="1" s="1"/>
  <c r="G243" i="1"/>
  <c r="L243" i="1" s="1"/>
  <c r="G242" i="1"/>
  <c r="L242" i="1" s="1"/>
  <c r="G241" i="1"/>
  <c r="L241" i="1" s="1"/>
  <c r="G240" i="1"/>
  <c r="L240" i="1" s="1"/>
  <c r="G239" i="1"/>
  <c r="L239" i="1" s="1"/>
  <c r="G238" i="1"/>
  <c r="L238" i="1" s="1"/>
  <c r="G237" i="1"/>
  <c r="L237" i="1" s="1"/>
  <c r="G236" i="1"/>
  <c r="L236" i="1" s="1"/>
  <c r="G235" i="1"/>
  <c r="L235" i="1" s="1"/>
  <c r="G234" i="1"/>
  <c r="L234" i="1" s="1"/>
  <c r="G233" i="1"/>
  <c r="L233" i="1" s="1"/>
  <c r="G232" i="1"/>
  <c r="L232" i="1" s="1"/>
  <c r="G231" i="1"/>
  <c r="L231" i="1" s="1"/>
  <c r="G230" i="1"/>
  <c r="L230" i="1" s="1"/>
  <c r="G229" i="1"/>
  <c r="L229" i="1" s="1"/>
  <c r="G228" i="1"/>
  <c r="L228" i="1" s="1"/>
  <c r="G227" i="1"/>
  <c r="L227" i="1" s="1"/>
  <c r="G226" i="1"/>
  <c r="L226" i="1" s="1"/>
  <c r="G225" i="1"/>
  <c r="L225" i="1" s="1"/>
  <c r="G224" i="1"/>
  <c r="L224" i="1" s="1"/>
  <c r="G223" i="1"/>
  <c r="L223" i="1" s="1"/>
  <c r="G222" i="1"/>
  <c r="L222" i="1" s="1"/>
  <c r="G221" i="1"/>
  <c r="L221" i="1" s="1"/>
  <c r="G220" i="1"/>
  <c r="L220" i="1" s="1"/>
  <c r="G219" i="1"/>
  <c r="L219" i="1" s="1"/>
  <c r="G218" i="1"/>
  <c r="L218" i="1" s="1"/>
  <c r="G217" i="1"/>
  <c r="L217" i="1" s="1"/>
  <c r="G216" i="1"/>
  <c r="L216" i="1" s="1"/>
  <c r="G215" i="1"/>
  <c r="L215" i="1" s="1"/>
  <c r="G214" i="1"/>
  <c r="L214" i="1" s="1"/>
  <c r="G213" i="1"/>
  <c r="L213" i="1" s="1"/>
  <c r="G212" i="1"/>
  <c r="L212" i="1" s="1"/>
  <c r="G211" i="1"/>
  <c r="L211" i="1" s="1"/>
  <c r="G210" i="1"/>
  <c r="L210" i="1" s="1"/>
  <c r="G209" i="1"/>
  <c r="L209" i="1" s="1"/>
  <c r="G208" i="1"/>
  <c r="L208" i="1" s="1"/>
  <c r="G207" i="1"/>
  <c r="L207" i="1" s="1"/>
  <c r="G206" i="1"/>
  <c r="L206" i="1" s="1"/>
  <c r="G205" i="1"/>
  <c r="L205" i="1" s="1"/>
  <c r="G204" i="1"/>
  <c r="L204" i="1" s="1"/>
  <c r="G203" i="1"/>
  <c r="L203" i="1" s="1"/>
  <c r="G202" i="1"/>
  <c r="L202" i="1" s="1"/>
  <c r="G201" i="1"/>
  <c r="L201" i="1" s="1"/>
  <c r="G200" i="1"/>
  <c r="L200" i="1" s="1"/>
  <c r="G199" i="1"/>
  <c r="L199" i="1" s="1"/>
  <c r="G198" i="1"/>
  <c r="L198" i="1" s="1"/>
  <c r="G197" i="1"/>
  <c r="L197" i="1" s="1"/>
  <c r="G196" i="1"/>
  <c r="L196" i="1" s="1"/>
  <c r="G195" i="1"/>
  <c r="L195" i="1" s="1"/>
  <c r="G194" i="1"/>
  <c r="L194" i="1" s="1"/>
  <c r="G193" i="1"/>
  <c r="L193" i="1" s="1"/>
  <c r="G192" i="1"/>
  <c r="L192" i="1" s="1"/>
  <c r="G191" i="1"/>
  <c r="L191" i="1" s="1"/>
  <c r="G190" i="1"/>
  <c r="L190" i="1" s="1"/>
  <c r="G189" i="1"/>
  <c r="L189" i="1" s="1"/>
  <c r="G188" i="1"/>
  <c r="L188" i="1" s="1"/>
  <c r="G187" i="1"/>
  <c r="L187" i="1" s="1"/>
  <c r="G186" i="1"/>
  <c r="L186" i="1" s="1"/>
  <c r="G185" i="1"/>
  <c r="L185" i="1" s="1"/>
  <c r="G184" i="1"/>
  <c r="L184" i="1" s="1"/>
  <c r="G183" i="1"/>
  <c r="L183" i="1" s="1"/>
  <c r="G182" i="1"/>
  <c r="L182" i="1" s="1"/>
  <c r="G181" i="1"/>
  <c r="L181" i="1" s="1"/>
  <c r="G180" i="1"/>
  <c r="L180" i="1" s="1"/>
  <c r="G179" i="1"/>
  <c r="L179" i="1" s="1"/>
  <c r="G178" i="1"/>
  <c r="L178" i="1" s="1"/>
  <c r="G177" i="1"/>
  <c r="L177" i="1" s="1"/>
  <c r="G176" i="1"/>
  <c r="L176" i="1" s="1"/>
  <c r="G175" i="1"/>
  <c r="L175" i="1" s="1"/>
  <c r="G174" i="1"/>
  <c r="L174" i="1" s="1"/>
  <c r="G173" i="1"/>
  <c r="L173" i="1" s="1"/>
  <c r="G172" i="1"/>
  <c r="L172" i="1" s="1"/>
  <c r="G171" i="1"/>
  <c r="L171" i="1" s="1"/>
  <c r="G170" i="1"/>
  <c r="L170" i="1" s="1"/>
  <c r="G169" i="1"/>
  <c r="L169" i="1" s="1"/>
  <c r="G168" i="1"/>
  <c r="L168" i="1" s="1"/>
  <c r="G167" i="1"/>
  <c r="L167" i="1" s="1"/>
  <c r="G166" i="1"/>
  <c r="L166" i="1" s="1"/>
  <c r="G165" i="1"/>
  <c r="L165" i="1" s="1"/>
  <c r="G164" i="1"/>
  <c r="L164" i="1" s="1"/>
  <c r="G163" i="1"/>
  <c r="L163" i="1" s="1"/>
  <c r="G162" i="1"/>
  <c r="L162" i="1" s="1"/>
  <c r="G161" i="1"/>
  <c r="L161" i="1" s="1"/>
  <c r="G160" i="1"/>
  <c r="L160" i="1" s="1"/>
  <c r="G159" i="1"/>
  <c r="L159" i="1" s="1"/>
  <c r="G158" i="1"/>
  <c r="L158" i="1" s="1"/>
  <c r="G157" i="1"/>
  <c r="L157" i="1" s="1"/>
  <c r="G156" i="1"/>
  <c r="L156" i="1" s="1"/>
  <c r="G155" i="1"/>
  <c r="L155" i="1" s="1"/>
  <c r="G154" i="1"/>
  <c r="L154" i="1" s="1"/>
  <c r="G153" i="1"/>
  <c r="L153" i="1" s="1"/>
  <c r="G152" i="1"/>
  <c r="L152" i="1" s="1"/>
  <c r="G151" i="1"/>
  <c r="L151" i="1" s="1"/>
  <c r="G150" i="1"/>
  <c r="L150" i="1" s="1"/>
  <c r="G149" i="1"/>
  <c r="L149" i="1" s="1"/>
  <c r="G148" i="1"/>
  <c r="L148" i="1" s="1"/>
  <c r="G147" i="1"/>
  <c r="L147" i="1" s="1"/>
  <c r="G146" i="1"/>
  <c r="L146" i="1" s="1"/>
  <c r="G145" i="1"/>
  <c r="L145" i="1" s="1"/>
  <c r="G144" i="1"/>
  <c r="L144" i="1" s="1"/>
  <c r="G143" i="1"/>
  <c r="L143" i="1" s="1"/>
  <c r="G142" i="1"/>
  <c r="L142" i="1" s="1"/>
  <c r="G141" i="1"/>
  <c r="L141" i="1" s="1"/>
  <c r="G140" i="1"/>
  <c r="L140" i="1" s="1"/>
  <c r="G139" i="1"/>
  <c r="L139" i="1" s="1"/>
  <c r="G138" i="1"/>
  <c r="L138" i="1" s="1"/>
  <c r="G137" i="1"/>
  <c r="L137" i="1" s="1"/>
  <c r="G136" i="1"/>
  <c r="L136" i="1" s="1"/>
  <c r="G135" i="1"/>
  <c r="L135" i="1" s="1"/>
  <c r="G134" i="1"/>
  <c r="L134" i="1" s="1"/>
  <c r="G133" i="1"/>
  <c r="L133" i="1" s="1"/>
  <c r="G132" i="1"/>
  <c r="L132" i="1" s="1"/>
  <c r="G131" i="1"/>
  <c r="L131" i="1" s="1"/>
  <c r="G130" i="1"/>
  <c r="L130" i="1" s="1"/>
  <c r="G129" i="1"/>
  <c r="L129" i="1" s="1"/>
  <c r="G128" i="1"/>
  <c r="L128" i="1" s="1"/>
  <c r="G127" i="1"/>
  <c r="L127" i="1" s="1"/>
  <c r="G126" i="1"/>
  <c r="L126" i="1" s="1"/>
  <c r="G125" i="1"/>
  <c r="L125" i="1" s="1"/>
  <c r="G124" i="1"/>
  <c r="L124" i="1" s="1"/>
  <c r="G123" i="1"/>
  <c r="L123" i="1" s="1"/>
  <c r="G122" i="1"/>
  <c r="L122" i="1" s="1"/>
  <c r="G121" i="1"/>
  <c r="L121" i="1" s="1"/>
  <c r="G120" i="1"/>
  <c r="L120" i="1" s="1"/>
  <c r="G119" i="1"/>
  <c r="L119" i="1" s="1"/>
  <c r="G118" i="1"/>
  <c r="L118" i="1" s="1"/>
  <c r="G117" i="1"/>
  <c r="L117" i="1" s="1"/>
  <c r="G116" i="1"/>
  <c r="L116" i="1" s="1"/>
  <c r="G115" i="1"/>
  <c r="L115" i="1" s="1"/>
  <c r="G114" i="1"/>
  <c r="L114" i="1" s="1"/>
  <c r="G113" i="1"/>
  <c r="L113" i="1" s="1"/>
  <c r="G112" i="1"/>
  <c r="L112" i="1" s="1"/>
  <c r="G111" i="1"/>
  <c r="L111" i="1" s="1"/>
  <c r="G110" i="1"/>
  <c r="L110" i="1" s="1"/>
  <c r="G109" i="1"/>
  <c r="L109" i="1" s="1"/>
  <c r="G108" i="1"/>
  <c r="L108" i="1" s="1"/>
  <c r="G107" i="1"/>
  <c r="L107" i="1" s="1"/>
  <c r="G106" i="1"/>
  <c r="L106" i="1" s="1"/>
  <c r="G105" i="1"/>
  <c r="L105" i="1" s="1"/>
  <c r="G104" i="1"/>
  <c r="L104" i="1" s="1"/>
  <c r="G103" i="1"/>
  <c r="L103" i="1" s="1"/>
  <c r="G102" i="1"/>
  <c r="L102" i="1" s="1"/>
  <c r="G101" i="1"/>
  <c r="L101" i="1" s="1"/>
  <c r="G100" i="1"/>
  <c r="L100" i="1" s="1"/>
  <c r="G99" i="1"/>
  <c r="L99" i="1" s="1"/>
  <c r="G98" i="1"/>
  <c r="L98" i="1" s="1"/>
  <c r="G97" i="1"/>
  <c r="L97" i="1" s="1"/>
  <c r="G96" i="1"/>
  <c r="L96" i="1" s="1"/>
  <c r="G95" i="1"/>
  <c r="L95" i="1" s="1"/>
  <c r="G94" i="1"/>
  <c r="L94" i="1" s="1"/>
  <c r="G93" i="1"/>
  <c r="L93" i="1" s="1"/>
  <c r="G92" i="1"/>
  <c r="L92" i="1" s="1"/>
  <c r="G91" i="1"/>
  <c r="L91" i="1" s="1"/>
  <c r="G90" i="1"/>
  <c r="L90" i="1" s="1"/>
  <c r="G89" i="1"/>
  <c r="L89" i="1" s="1"/>
  <c r="G88" i="1"/>
  <c r="L88" i="1" s="1"/>
  <c r="G87" i="1"/>
  <c r="L87" i="1" s="1"/>
  <c r="G86" i="1"/>
  <c r="L86" i="1" s="1"/>
  <c r="G85" i="1"/>
  <c r="L85" i="1" s="1"/>
  <c r="G84" i="1"/>
  <c r="L84" i="1" s="1"/>
  <c r="G83" i="1"/>
  <c r="L83" i="1" s="1"/>
  <c r="G82" i="1"/>
  <c r="L82" i="1" s="1"/>
  <c r="G81" i="1"/>
  <c r="L81" i="1" s="1"/>
  <c r="G80" i="1"/>
  <c r="L80" i="1" s="1"/>
  <c r="G79" i="1"/>
  <c r="L79" i="1" s="1"/>
  <c r="G78" i="1"/>
  <c r="L78" i="1" s="1"/>
  <c r="G77" i="1"/>
  <c r="L77" i="1" s="1"/>
  <c r="G76" i="1"/>
  <c r="L76" i="1" s="1"/>
  <c r="G75" i="1"/>
  <c r="L75" i="1" s="1"/>
  <c r="G74" i="1"/>
  <c r="L74" i="1" s="1"/>
  <c r="G73" i="1"/>
  <c r="L73" i="1" s="1"/>
  <c r="G72" i="1"/>
  <c r="L72" i="1" s="1"/>
  <c r="G71" i="1"/>
  <c r="L71" i="1" s="1"/>
  <c r="G70" i="1"/>
  <c r="L70" i="1" s="1"/>
  <c r="G69" i="1"/>
  <c r="L69" i="1" s="1"/>
  <c r="G68" i="1"/>
  <c r="L68" i="1" s="1"/>
  <c r="G67" i="1"/>
  <c r="L67" i="1" s="1"/>
  <c r="G66" i="1"/>
  <c r="L66" i="1" s="1"/>
  <c r="G65" i="1"/>
  <c r="L65" i="1" s="1"/>
  <c r="G64" i="1"/>
  <c r="L64" i="1" s="1"/>
  <c r="G63" i="1"/>
  <c r="L63" i="1" s="1"/>
  <c r="G62" i="1"/>
  <c r="L62" i="1" s="1"/>
  <c r="G61" i="1"/>
  <c r="L61" i="1" s="1"/>
  <c r="G60" i="1"/>
  <c r="L60" i="1" s="1"/>
  <c r="G59" i="1"/>
  <c r="L59" i="1" s="1"/>
  <c r="G58" i="1"/>
  <c r="L58" i="1" s="1"/>
  <c r="G57" i="1"/>
  <c r="L57" i="1" s="1"/>
  <c r="G56" i="1"/>
  <c r="L56" i="1" s="1"/>
  <c r="G55" i="1"/>
  <c r="L55" i="1" s="1"/>
  <c r="G54" i="1"/>
  <c r="L54" i="1" s="1"/>
  <c r="G53" i="1"/>
  <c r="L53" i="1" s="1"/>
  <c r="G52" i="1"/>
  <c r="L52" i="1" s="1"/>
  <c r="G51" i="1"/>
  <c r="L51" i="1" s="1"/>
  <c r="G50" i="1"/>
  <c r="L50" i="1" s="1"/>
  <c r="G49" i="1"/>
  <c r="L49" i="1" s="1"/>
  <c r="G48" i="1"/>
  <c r="L48" i="1" s="1"/>
  <c r="G47" i="1"/>
  <c r="L47" i="1" s="1"/>
  <c r="G46" i="1"/>
  <c r="L46" i="1" s="1"/>
  <c r="G45" i="1"/>
  <c r="L45" i="1" s="1"/>
  <c r="G44" i="1"/>
  <c r="L44" i="1" s="1"/>
  <c r="G43" i="1"/>
  <c r="L43" i="1" s="1"/>
  <c r="G42" i="1"/>
  <c r="L42" i="1" s="1"/>
  <c r="G41" i="1"/>
  <c r="L41" i="1" s="1"/>
  <c r="G40" i="1"/>
  <c r="L40" i="1" s="1"/>
  <c r="G39" i="1"/>
  <c r="L39" i="1" s="1"/>
  <c r="G38" i="1"/>
  <c r="L38" i="1" s="1"/>
  <c r="G37" i="1"/>
  <c r="L37" i="1" s="1"/>
  <c r="G36" i="1"/>
  <c r="L36" i="1" s="1"/>
  <c r="G35" i="1"/>
  <c r="L35" i="1" s="1"/>
  <c r="G34" i="1"/>
  <c r="L34" i="1" s="1"/>
  <c r="G33" i="1"/>
  <c r="L33" i="1" s="1"/>
  <c r="G32" i="1"/>
  <c r="L32" i="1" s="1"/>
  <c r="G31" i="1"/>
  <c r="L31" i="1" s="1"/>
  <c r="G30" i="1"/>
  <c r="L30" i="1" s="1"/>
  <c r="G29" i="1"/>
  <c r="L29" i="1" s="1"/>
  <c r="G28" i="1"/>
  <c r="L28" i="1" s="1"/>
  <c r="G27" i="1"/>
  <c r="L27" i="1" s="1"/>
  <c r="G26" i="1"/>
  <c r="L26" i="1" s="1"/>
  <c r="G25" i="1"/>
  <c r="L25" i="1" s="1"/>
  <c r="G24" i="1"/>
  <c r="L24" i="1" s="1"/>
  <c r="G23" i="1"/>
  <c r="L23" i="1" s="1"/>
  <c r="G22" i="1"/>
  <c r="L22" i="1" s="1"/>
  <c r="G21" i="1"/>
  <c r="L21" i="1" s="1"/>
  <c r="G20" i="1"/>
  <c r="L20" i="1" s="1"/>
  <c r="G19" i="1"/>
  <c r="L19" i="1" s="1"/>
  <c r="G18" i="1"/>
  <c r="L18" i="1" s="1"/>
  <c r="G17" i="1"/>
  <c r="L17" i="1" s="1"/>
  <c r="G16" i="1"/>
  <c r="L16" i="1" s="1"/>
  <c r="G15" i="1"/>
  <c r="L15" i="1" s="1"/>
  <c r="G14" i="1"/>
  <c r="L14" i="1" s="1"/>
  <c r="G13" i="1"/>
  <c r="L13" i="1" s="1"/>
  <c r="G12" i="1"/>
  <c r="L12" i="1" s="1"/>
  <c r="G11" i="1"/>
  <c r="L11" i="1" s="1"/>
  <c r="G10" i="1"/>
  <c r="L10" i="1" s="1"/>
  <c r="G9" i="1"/>
  <c r="L9" i="1" s="1"/>
  <c r="G8" i="1"/>
  <c r="L8" i="1" s="1"/>
  <c r="F11" i="85"/>
  <c r="G11" i="85" s="1"/>
  <c r="F10" i="85"/>
  <c r="G10" i="85" s="1"/>
  <c r="G9" i="85"/>
  <c r="F9" i="85"/>
  <c r="F8" i="85"/>
  <c r="G8" i="85" s="1"/>
  <c r="G6" i="85" l="1"/>
  <c r="H6" i="1"/>
</calcChain>
</file>

<file path=xl/sharedStrings.xml><?xml version="1.0" encoding="utf-8"?>
<sst xmlns="http://schemas.openxmlformats.org/spreadsheetml/2006/main" count="2473" uniqueCount="1048">
  <si>
    <t>Échéance</t>
  </si>
  <si>
    <t>Statut</t>
  </si>
  <si>
    <t>Commentaires</t>
  </si>
  <si>
    <t>Constat</t>
  </si>
  <si>
    <t>Date du constat</t>
  </si>
  <si>
    <t>Instance</t>
  </si>
  <si>
    <t>RMO</t>
  </si>
  <si>
    <t>Plan d'Amélioration du Processus (PAP)</t>
  </si>
  <si>
    <t xml:space="preserve">DATE DE DERNIERE MISE A JOUR : </t>
  </si>
  <si>
    <t>PILOTE :</t>
  </si>
  <si>
    <t xml:space="preserve">PROCESSUS : </t>
  </si>
  <si>
    <t>Libellé de l'action</t>
  </si>
  <si>
    <t>DAI</t>
  </si>
  <si>
    <t>RDP</t>
  </si>
  <si>
    <t>DRCP (Contrôle permanent)</t>
  </si>
  <si>
    <t>PAO/PAS (Risques)</t>
  </si>
  <si>
    <t>Date Échéance</t>
  </si>
  <si>
    <t>Appliqué</t>
  </si>
  <si>
    <t>Sécurité des Systèmes d'Information (SSI)</t>
  </si>
  <si>
    <t>Marc-Yvan PANDJA FALEU</t>
  </si>
  <si>
    <t>Non Appliqué</t>
  </si>
  <si>
    <t>Total général</t>
  </si>
  <si>
    <t>Étiquettes de colonnes</t>
  </si>
  <si>
    <t>Total Nombre</t>
  </si>
  <si>
    <t>Nombre</t>
  </si>
  <si>
    <t>Total %</t>
  </si>
  <si>
    <t>%</t>
  </si>
  <si>
    <t>Instances</t>
  </si>
  <si>
    <t>Indicateurs</t>
  </si>
  <si>
    <t xml:space="preserve">Prévu </t>
  </si>
  <si>
    <t xml:space="preserve">Réalisé </t>
  </si>
  <si>
    <t>% d’atteinte</t>
  </si>
  <si>
    <t>Points</t>
  </si>
  <si>
    <t>Commentaires des écarts (cause)</t>
  </si>
  <si>
    <t>Plan d’action pour corriger les écarts</t>
  </si>
  <si>
    <t>Rappel du système de mesure</t>
  </si>
  <si>
    <t>Niveau d’atteinte des objectifs</t>
  </si>
  <si>
    <t>Equivalents en points</t>
  </si>
  <si>
    <t>Taux de Mise en Œuvre du PAP</t>
  </si>
  <si>
    <t>Score sur la période</t>
  </si>
  <si>
    <t>De 0 à 50% de la cible</t>
  </si>
  <si>
    <t>De 51 à 75% de la cible</t>
  </si>
  <si>
    <t>De 76 à 85% de la cible</t>
  </si>
  <si>
    <t>De 86 à 95% de la cible</t>
  </si>
  <si>
    <t>De 96 à 100% de la cible</t>
  </si>
  <si>
    <t>Nbre Echus et Appliqués</t>
  </si>
  <si>
    <t>Reporting des indicateurs de performance (KPI) - AUDIT INTERNE</t>
  </si>
  <si>
    <t>PILOTE                                                      :     Thierry Dominique LEKA</t>
  </si>
  <si>
    <t>Valeur cible</t>
  </si>
  <si>
    <t>Codes</t>
  </si>
  <si>
    <t>KPI01-AI</t>
  </si>
  <si>
    <t>KPI02-AI</t>
  </si>
  <si>
    <t>KPI04-AI</t>
  </si>
  <si>
    <t>(Nombre de recommandations d’audit interne  appliquées dans les délais / Nombre total de recommandations d’audit interne échues) × 100</t>
  </si>
  <si>
    <t>(Nombre de recommandations applicables au Processus AI mises en œuvre dans les délais / Nombre total de recommandations échues applicables au Processus AI) × 100</t>
  </si>
  <si>
    <t>(Nombre de recommandations du Collège des Superviseurs mises en œuvre dans les délais / Nombre total de recommandations du Collège des Superviseurs échues) × 100</t>
  </si>
  <si>
    <t>(Nombre de missions d'audit interne réalisées / Nombre total de missions d’audit interne prévues) × 100</t>
  </si>
  <si>
    <t>KPI03-AI</t>
  </si>
  <si>
    <t>PROCESSUS                                            :    AUDIT INTERNE (AI)</t>
  </si>
  <si>
    <t>PROCESSUS                                             :     AUDIT INTERNE (AI)</t>
  </si>
  <si>
    <t>Taux de MEO au 31/01/2021</t>
  </si>
  <si>
    <t>DATE DE DERNIERE MISE A JOUR       :   10/02/2021</t>
  </si>
  <si>
    <t>DATE DE DERNIERE MISE A JOUR       :    10/02/2021</t>
  </si>
  <si>
    <t>N/A</t>
  </si>
  <si>
    <t>Type d'indicateurs</t>
  </si>
  <si>
    <t>Stratégique</t>
  </si>
  <si>
    <t>(Nombre de recommandations du Collège des Superviseurs mis en œuvre dans les délais / Nombre total de recommandations du Collège des Superviseurs échues) × 100</t>
  </si>
  <si>
    <t>(Nombre de recommandations applicables au processus AI mises en œuvre dans les délais / Nombre total de recommandations échues applicables au processus AI) × 100</t>
  </si>
  <si>
    <t>KPI05-AI</t>
  </si>
  <si>
    <t xml:space="preserve">DATE DE DERNIERE MISE A JOUR       :    </t>
  </si>
  <si>
    <t>Fréquence</t>
  </si>
  <si>
    <t>Mensuelle</t>
  </si>
  <si>
    <t>(Nombre de recommandations d’audit interne appliquées dans les délais / Nombre total de recommandations d’audit interne échues) × 100</t>
  </si>
  <si>
    <t>Trimestrielle</t>
  </si>
  <si>
    <t>Annuelle</t>
  </si>
  <si>
    <t>PILOTE                                                      :     Sally ACHA NKEA NCHANG</t>
  </si>
  <si>
    <t>KPI01-CH</t>
  </si>
  <si>
    <t>(Nombre de recrutements réalisés / Nombre de recrutements prévus dans le plan de recrutements validé) × 100</t>
  </si>
  <si>
    <t>Semestrielle</t>
  </si>
  <si>
    <t>KPI02-CH</t>
  </si>
  <si>
    <t>(Nombre de formations dispensées / Nombre de formations planifiées sur la période) × 100</t>
  </si>
  <si>
    <t>KPI03-CH</t>
  </si>
  <si>
    <t>(Nombre de formations évaluées avec la note « Acquis » / Nombre de formations totales évaluées) × 100</t>
  </si>
  <si>
    <t>KPI04-CH</t>
  </si>
  <si>
    <t>RN par effectif / Norme en termes de RN par effectif</t>
  </si>
  <si>
    <t xml:space="preserve">Semestrielle </t>
  </si>
  <si>
    <t>120 Millions</t>
  </si>
  <si>
    <t>KPI05 -CH</t>
  </si>
  <si>
    <t>(Nombre de staffs évalués avec 100% d’objectifs atteints / Nombre de staffs promus) × 100</t>
  </si>
  <si>
    <t>KPI06-CH</t>
  </si>
  <si>
    <t>(Nombre d’engagements de service clientèle interne respectés / Nombre d’engagements de service clientèle interne) x 100</t>
  </si>
  <si>
    <t>KPI07-CH</t>
  </si>
  <si>
    <t>Taux de mise en œuvre des recommandations issu de l’enquête de satisfaction</t>
  </si>
  <si>
    <t>KPI08-CH</t>
  </si>
  <si>
    <t>(Nombre des requêtes et réclamations traitées dans un délai de 30/45 jours/Nombre des requêtes et réclamations reçues) * 100</t>
  </si>
  <si>
    <t>KPI12 -CH</t>
  </si>
  <si>
    <t>Nombre de recommandations applicables au PX CH mises en œuvre dans les délais / Nombre total de recommandations échues applicables au PX CH) × 100</t>
  </si>
  <si>
    <t>SMQ (KPI STRATEGIQUES - PLAN D'ACTION)</t>
  </si>
  <si>
    <t>Reporting des indicateurs de performance (PA) - STRATEGIQUE</t>
  </si>
  <si>
    <t>Annuelle (Janvier)</t>
  </si>
  <si>
    <t>Actions</t>
  </si>
  <si>
    <t>PS - CH</t>
  </si>
  <si>
    <t>Annuelle (Novembre)</t>
  </si>
  <si>
    <t>KPI01-CMR</t>
  </si>
  <si>
    <t>(Nombre de clients équipés/Nombre des clients de la Banque)</t>
  </si>
  <si>
    <t>KPI02-CMR</t>
  </si>
  <si>
    <t>KPI03-CMR</t>
  </si>
  <si>
    <t>KPI04-CMR</t>
  </si>
  <si>
    <t>KPI05-CMR</t>
  </si>
  <si>
    <t>KPI06-CMR</t>
  </si>
  <si>
    <t xml:space="preserve">Nombre d’articles négatifs </t>
  </si>
  <si>
    <t>KPI07-CMR</t>
  </si>
  <si>
    <t>(Nombre des publications et affichages des conditions de banque réalisés/Nombre des publications et affichages des conditions de banque prévus) * 100</t>
  </si>
  <si>
    <t>KPI08-CMR</t>
  </si>
  <si>
    <t>(Nombre d’actions RSE réalisées / Nombre d’actions prévues) *100</t>
  </si>
  <si>
    <t>KPI10-CMR</t>
  </si>
  <si>
    <t>KPI12-CMR</t>
  </si>
  <si>
    <t>(Nombre de recommandations applicables au processus CMR mises en œuvre dans les délais / Nombre total de recommandations échues applicables au processus CMR × 100</t>
  </si>
  <si>
    <t>KPI04-CON</t>
  </si>
  <si>
    <t>100% des alertes non justifiées de M-1 déclarées à l’ANIF</t>
  </si>
  <si>
    <t>KPI05-CON</t>
  </si>
  <si>
    <t>KPI09-CON</t>
  </si>
  <si>
    <t>(Nombres d’exigences appliquées / Nombres d’exigences en vigueur applicables) × 100</t>
  </si>
  <si>
    <t>KPI10-CON</t>
  </si>
  <si>
    <t>Nombres de recommandations appliquées / Nombres de recommandations émises) × 100</t>
  </si>
  <si>
    <t>KPI11-CON</t>
  </si>
  <si>
    <t>KPI12-CON</t>
  </si>
  <si>
    <t>Zéro sanction issue du régulateur</t>
  </si>
  <si>
    <t>(Nombre de recommandations applicables au processus CON mises en œuvre dans les délais / Nombre total de recommandations échues applicables au processus CON) × 100</t>
  </si>
  <si>
    <t>Mettre à jour et déployer les différents programmes de contrôle incluant : les contrôles des transactions via BMS et celles réalisées par cartes prépayées</t>
  </si>
  <si>
    <t>Taux de MEO des plans de contrôles = 100%</t>
  </si>
  <si>
    <t>PS - CON</t>
  </si>
  <si>
    <t>KPI01-CP</t>
  </si>
  <si>
    <t>(Nombre de contrôles réalisés avec Feuille de travail / Nombre total de contrôles planifiés) × 100</t>
  </si>
  <si>
    <t>KPI02-CP</t>
  </si>
  <si>
    <t>(Nombre de contrôle des produits digitaux réalisés / nombre total de contrôle des produits digitaux planifiés) x 100</t>
  </si>
  <si>
    <t>KPI04-CP</t>
  </si>
  <si>
    <t>Taux de mise en œuvre des recommandations issues de la revue des habilitations = 100%</t>
  </si>
  <si>
    <t>KPI05-CP</t>
  </si>
  <si>
    <t>KPI06-CP</t>
  </si>
  <si>
    <t>KPI07-CP</t>
  </si>
  <si>
    <t>(Nombre de point d’amélioration mis en œuvre / nombre total de point d’amélioration échus) × 100</t>
  </si>
  <si>
    <t>Nombre de recommandations applicables au processus CP mises en œuvre dans les délais / nombre total de recommandations échues applicables au processus CP) × 100</t>
  </si>
  <si>
    <t>Engagements par secteur / Total Engagements</t>
  </si>
  <si>
    <t>(Engagement Pondéré le plus élevé / Fonds Propres Nets corrigés) × 100</t>
  </si>
  <si>
    <t>Coût du risque en flux : (Dotation aux provisions à caractère spécifique / Total encours de crédit) × 99</t>
  </si>
  <si>
    <t>Coût du risque en stock : (Total encours douteux / Total encours de crédit) × 100</t>
  </si>
  <si>
    <t>(Total des 20 principaux crédits / Total encours de crédit) × 100</t>
  </si>
  <si>
    <t>Total provision / total encours douteux</t>
  </si>
  <si>
    <t>(Nombre de reporting règlementaires transmis dans les délais / Nombre de reporting règlementaires à transmettre) × 100</t>
  </si>
  <si>
    <t>(Nombre de recommandations applicables au processus CR mises en œuvre dans les délais / Nombre total de recommandations échues applicables au processus CR)× 100</t>
  </si>
  <si>
    <t>PS - CR</t>
  </si>
  <si>
    <t>Annuelle (Juin)</t>
  </si>
  <si>
    <t>Signature de partenariats pour le financement de l’économie camerounaise</t>
  </si>
  <si>
    <t>01 contrat signé</t>
  </si>
  <si>
    <t>KPI06-CRB</t>
  </si>
  <si>
    <t>PNB réalisé / PNB budgétisé</t>
  </si>
  <si>
    <t>KPI07-CRB</t>
  </si>
  <si>
    <t>Nombre des clients « Entreprises » visités/Nombre des clients du portefeuille</t>
  </si>
  <si>
    <t>KPI08-CRB</t>
  </si>
  <si>
    <t>KPI09-CRB</t>
  </si>
  <si>
    <t>KPI13-CRB</t>
  </si>
  <si>
    <t>Taux de satisfaction issue des enquêtes agences = 100%</t>
  </si>
  <si>
    <t>(Nombre de recommandations applicables au processus CRB mises en œuvre dans les délais / Nombre total de recommandations échues applicables au processus CRB) x 100</t>
  </si>
  <si>
    <t>Participer à des financements structurés en tant que Banque participante ou Banque arrangeur</t>
  </si>
  <si>
    <t>PS - CRB</t>
  </si>
  <si>
    <t>Quatre (04) financements structurés en tant que Banque participante ou Banque arrangeur</t>
  </si>
  <si>
    <t>Annuelle (Décembre)</t>
  </si>
  <si>
    <t>KPI01-EXI</t>
  </si>
  <si>
    <t>(Nombre de solutions mises en production dans les délais /Nombre de solutions prévues) ×100</t>
  </si>
  <si>
    <t>KPI03-EXI</t>
  </si>
  <si>
    <t>(Tests d’intégrité des sauvegardes effectuées avec succès / Test d’intégrité des sauvegardes planifiées) × 100</t>
  </si>
  <si>
    <t>KPI04-EXI</t>
  </si>
  <si>
    <t>(Nombre de DIMs traitées dans les délais prévus / Nombre de DIMS ouvertes) ×100</t>
  </si>
  <si>
    <t>KPI05-EXI</t>
  </si>
  <si>
    <t>(Nombre de requêtes traitées dans les délais / Nombre de requêtes reçues) ×100</t>
  </si>
  <si>
    <t>KPI06-EXI</t>
  </si>
  <si>
    <t>(Nombre de vulnérabilités critiques et élevées traitées / Nombre de vulnérabilités critiques et élevées identifiées) ×100</t>
  </si>
  <si>
    <t>KPI07-EXI</t>
  </si>
  <si>
    <t xml:space="preserve">(Nombre d'actifs avec base virale datant de moins de 07 jours / Nombre d'actifs de la Banque) </t>
  </si>
  <si>
    <t>KPI08-EXI</t>
  </si>
  <si>
    <t>(Nombre de relevés transmis dans les délais / Nombre de clients de la Banque) x 100</t>
  </si>
  <si>
    <t>KPI09-EXI</t>
  </si>
  <si>
    <t xml:space="preserve">(Nombre de reporting règlementaires transmis dans les délais / Nombre de reporting règlementaires à transmettre) x 100 </t>
  </si>
  <si>
    <t>KPI10-EXI</t>
  </si>
  <si>
    <t>(Nombre de recommandations applicables au processus EXI mises en œuvre dans les délais / Nombre total de recommandations échues applicables au processus EXI) × 100</t>
  </si>
  <si>
    <t>PS - EXI</t>
  </si>
  <si>
    <t>Annuelle (Mars)</t>
  </si>
  <si>
    <t>Assurer la sécurité du système d’information</t>
  </si>
  <si>
    <t>Renouveler la certification PCI-DSS</t>
  </si>
  <si>
    <t>Annuelle (Septembre)</t>
  </si>
  <si>
    <t>KPI01-FIN</t>
  </si>
  <si>
    <t>(Nombre de ratios de gestion et réglementaires respectés / Nombre total de ratios à respecter) × 100</t>
  </si>
  <si>
    <t>KPI02-FIN</t>
  </si>
  <si>
    <t>Nombre de déclarations SPECTRA sans anomalies et dans les délais / nombre de déclarations réalisées) × 100</t>
  </si>
  <si>
    <t>KPI04-FIN</t>
  </si>
  <si>
    <t>(Nombre de suspens comptables régularisés / nombre de suspens comptables à régulariser) × 100</t>
  </si>
  <si>
    <t>KPI06-FIN</t>
  </si>
  <si>
    <t>Coût des redressements fiscaux / Résultat Brut d’Exploitation (RBE)</t>
  </si>
  <si>
    <t>KPI07-FIN</t>
  </si>
  <si>
    <t>KPI08-FIN</t>
  </si>
  <si>
    <t>(Nombre de recommandations applicables au processus FIN mise en œuvre dans les délais / Nombre total de recommandations échues applicables au processus FIN) × 100</t>
  </si>
  <si>
    <t>PS - FIN</t>
  </si>
  <si>
    <t>Simulations Trimestrielles des Fonds Propres</t>
  </si>
  <si>
    <t>04 Simulations trimestrielles par an effectuées</t>
  </si>
  <si>
    <t>KPI01-GJR</t>
  </si>
  <si>
    <t xml:space="preserve">100% des réunions et comités convoqués dans les délais avec respect des exigences de quorum et des documents liés aux réunions et comités communiqués dans les délais </t>
  </si>
  <si>
    <t>A chaque tenue des CA/AG</t>
  </si>
  <si>
    <t>KPI02-GJR</t>
  </si>
  <si>
    <t>(Procès-verbal des réunions de CA et des AG et Nombre de documents et registres sociaux mis à jour / Nombre de documents et registres sociaux à mettre à jour) x 100</t>
  </si>
  <si>
    <t>KPI06-GJR</t>
  </si>
  <si>
    <t xml:space="preserve">(Nombre des cautions informés/Nombre des clients engagés avec caution) * 100% </t>
  </si>
  <si>
    <t>(Nombre de dérogations régularisées dans les délais/Nombre de dérogations accordées) × 100</t>
  </si>
  <si>
    <t>KPI09-GJR</t>
  </si>
  <si>
    <t>KPI10-GJR</t>
  </si>
  <si>
    <t>Taux de reprises sur provisions sur la période</t>
  </si>
  <si>
    <t>Nombre de recommandations applicables au processus GJR mises en œuvre dans les délais / Nombre total de recommandations échues applicables au processus GJR × 100</t>
  </si>
  <si>
    <t>Couvrir l’ensemble des exigences légales et réglementaires applicables aux organes de gouvernance (Organe Délibérant et Organe Exécutif): composition et fonctionnement du Conseil d’Administration et de la Direction Générale.</t>
  </si>
  <si>
    <t>100% des organes sociaux régulièrement constitués</t>
  </si>
  <si>
    <t>PS - GJR</t>
  </si>
  <si>
    <t>Mettre en place des procédures de recouvrement adéquates après classification des actions à mener:</t>
  </si>
  <si>
    <t xml:space="preserve">100% des procédures adéquates à l’endroit des débiteurs mises en œuvre </t>
  </si>
  <si>
    <t>KPI01-GR</t>
  </si>
  <si>
    <t>(Nombre de cartographies élaborées / Nombre de cartographies à élaborer) × 100</t>
  </si>
  <si>
    <t>KPI05-GR</t>
  </si>
  <si>
    <t>Pertes opérationnelles avérées / Résultat Brut d’Exploitation (RBE)</t>
  </si>
  <si>
    <t>KPI08-GR</t>
  </si>
  <si>
    <t>(Nombre de recommandations applicables au processus GR mises en œuvre dans les délais / Nombre total de recommandations échues applicables au processus GR) × 100</t>
  </si>
  <si>
    <t>KPI04-MGS</t>
  </si>
  <si>
    <t>(Nombre de réceptions conformes / Nombre de Commandes passées) *100
* PV de livraison signé des unités habilitées</t>
  </si>
  <si>
    <t>KPI06-MGS</t>
  </si>
  <si>
    <t>KPI07-MGS</t>
  </si>
  <si>
    <t>KPI09-MGS</t>
  </si>
  <si>
    <t>(Nombres d’exigences de la politique sécurité respectées / Nombre d’exigences prévus) x 100</t>
  </si>
  <si>
    <t>(Nombre de recommandations applicables au Processus MGS mises en œuvre dans les délais / Nombre total de recommandations échues applicables au Processus MGS) × 100</t>
  </si>
  <si>
    <t>KPI03-MON</t>
  </si>
  <si>
    <t>(Nombre des Requêtes/Réclamation VISA et GIMAC traitées dans les délais de 45 jours/Nombre des RRC reçues) × 100</t>
  </si>
  <si>
    <t>KPI04-MON</t>
  </si>
  <si>
    <t>KPI05-MON</t>
  </si>
  <si>
    <t>(Nombre des cartes bloquées après mise en demeure/Nombre des mise en demeure émis) × 100</t>
  </si>
  <si>
    <t>KPI06-MON</t>
  </si>
  <si>
    <t>(Nombre des produits bancassurances (contrats de souscription) transmis à l’assureur/Nombre des produits bancassurances vendues dans Amplitude) x 100</t>
  </si>
  <si>
    <t>KPI09-MON</t>
  </si>
  <si>
    <t>(Nombre de reporting réglementaire transmis dans les délais/Nombre de reporting réglementaire prévus) x 100</t>
  </si>
  <si>
    <t>KPI10-MON</t>
  </si>
  <si>
    <t>(Nombre de recommandations applicables au processus MON mises en œuvre dans les délais / Nombre de recommandations échues applicables au processus MON) × 100</t>
  </si>
  <si>
    <t>KPI02-OPT</t>
  </si>
  <si>
    <t>(Nombre d’instructions conformes traitées dans le respect des SLA / Nombre d’instructions conformes reçues avant cut-off) × 100</t>
  </si>
  <si>
    <t>KPI06-OPT</t>
  </si>
  <si>
    <t>KPI07-OPT</t>
  </si>
  <si>
    <t>KPI09-OPT</t>
  </si>
  <si>
    <t>(Nombre de recommandations applicables au processus OPT mises en œuvre dans les délais / Nombre de recommandations échues applicables au processus OPT) × 100</t>
  </si>
  <si>
    <t>KPI02-CR</t>
  </si>
  <si>
    <t>KPI04-CR</t>
  </si>
  <si>
    <t>KPI05-CR</t>
  </si>
  <si>
    <t>KPI06-CR</t>
  </si>
  <si>
    <t>KPI07-CR</t>
  </si>
  <si>
    <t>KPI08-CR</t>
  </si>
  <si>
    <t>KPI09-CR</t>
  </si>
  <si>
    <t>KPI10-CR</t>
  </si>
  <si>
    <t>KPI11-CR</t>
  </si>
  <si>
    <t>KPI01-PRO</t>
  </si>
  <si>
    <t>(Nombre de budgets alloués respectés par projet / Nombre total de projet avec budget) * 100</t>
  </si>
  <si>
    <t>KPI02-PRO</t>
  </si>
  <si>
    <t>(Nombre de livrables disponibles / Nombre de livrables à produire) * 100</t>
  </si>
  <si>
    <t>KPI05-PRO</t>
  </si>
  <si>
    <t>(Nombre d’incidents pris en charge dans les délais / Nombre d’incidents déclarés) * 100</t>
  </si>
  <si>
    <t>KPI06-PRO</t>
  </si>
  <si>
    <t>(Nombre de critères d’acceptation du projet réalisé / Nombre de critères d’acceptation à réaliser) * 100</t>
  </si>
  <si>
    <t>KPI07-PRO</t>
  </si>
  <si>
    <t xml:space="preserve">(Nombre de bilan projet disponibles / Nombre de bilan projet à produire) * 100 </t>
  </si>
  <si>
    <t>KPI09-PRO</t>
  </si>
  <si>
    <t>(Nombre de mission d’organisation réalisée/Nombre de mission planifiée) * 100.</t>
  </si>
  <si>
    <t>KPI10-PRO</t>
  </si>
  <si>
    <t xml:space="preserve">(Nombre des axes d’amélioration issus de la mission d’organisation mise en œuvre /Nombre des axes d’amélioration échus) * 100 </t>
  </si>
  <si>
    <t>KPI11-PRO</t>
  </si>
  <si>
    <t>(Nombre de recommandations applicables au processus PRO mises en œuvre dans les délais / Nombre total de recommandations échues applicables au Processus PRO) × 100</t>
  </si>
  <si>
    <t>KPI01-PRB</t>
  </si>
  <si>
    <t>(Total des 20 principaux dépôts / Total encours dépôts) x 100</t>
  </si>
  <si>
    <t>KPI02-PRB</t>
  </si>
  <si>
    <t>(Total des 20 principaux crédits / Total encours crédit) x 100</t>
  </si>
  <si>
    <t>KPI03-PRB</t>
  </si>
  <si>
    <t xml:space="preserve">(Nombre d’EER réalisées / Nombre d’EER prévus) x 100 </t>
  </si>
  <si>
    <t>KPI06-PRB</t>
  </si>
  <si>
    <t>KPI08-PRB</t>
  </si>
  <si>
    <t>Nombre des clients « Particuliers » visités/Nombre des clients « Particuliers » du portefeuille</t>
  </si>
  <si>
    <t xml:space="preserve">Mensuelle  </t>
  </si>
  <si>
    <t>KPI09-PRB</t>
  </si>
  <si>
    <t>Nombre des clients « Entreprises » visités/Nombre des clients « Entreprises » du portefeuille</t>
  </si>
  <si>
    <t>KPI12-PRB</t>
  </si>
  <si>
    <t>KPI13-PRB</t>
  </si>
  <si>
    <t>(Nombre des dossiers de demande de crédit conforme transmis à la FENG dans les délais de 7jours /Nombre des dossiers de demande de crédit reçus) × 100</t>
  </si>
  <si>
    <t>KPI16-PRB</t>
  </si>
  <si>
    <t>KPI18-PRB</t>
  </si>
  <si>
    <t>(Nombre de recommandations applicables au processus PRB mises en œuvre dans les délais / Nombre total de recommandations échues applicables au processus PRB) x 100</t>
  </si>
  <si>
    <t>KPI01-QLT</t>
  </si>
  <si>
    <t>(Nombre de Processus "Optimisé"/ Nombre total de Processus) × 100</t>
  </si>
  <si>
    <t>KPI05-QLT</t>
  </si>
  <si>
    <t>Taux de mise en œuvre des recommandations Qualité RDD/RDP/AUQ/AUS/AUC</t>
  </si>
  <si>
    <t>KPI07-QLT</t>
  </si>
  <si>
    <t>(Nombre de recommandations applicables au processus QLT mises en œuvre dans les délais / Nombre total de recommandations échues applicables au Processus QLT) × 100</t>
  </si>
  <si>
    <t>Maintenir le Certificat ISO 9001 version 2015.</t>
  </si>
  <si>
    <t>Certificat maintenu ISO 9001 version 2015</t>
  </si>
  <si>
    <t>PS - QLT</t>
  </si>
  <si>
    <t xml:space="preserve">Réaliser les audits internes Qualité </t>
  </si>
  <si>
    <t>Rapport de mission d’Audit Interne Qualité diffusé</t>
  </si>
  <si>
    <t>KPI11-RTB</t>
  </si>
  <si>
    <t>KPI01-RTB</t>
  </si>
  <si>
    <t xml:space="preserve">(Nombre de comptes ouverts / Nombre de comptes à ouvrir sur la période) x 100 </t>
  </si>
  <si>
    <t>KPI04-RTB</t>
  </si>
  <si>
    <t>KPI05-RTB</t>
  </si>
  <si>
    <t>KPI06-RTB</t>
  </si>
  <si>
    <t>KPI07-RTB</t>
  </si>
  <si>
    <t>KPI08-RTB</t>
  </si>
  <si>
    <t>KPI15-RTB</t>
  </si>
  <si>
    <t>KPI16-RTB</t>
  </si>
  <si>
    <t xml:space="preserve">Stratégique </t>
  </si>
  <si>
    <t>(Nombre de recommandations applicables au processus RTB mises en œuvre dans les délais / Nombre total de recommandations échues applicables au processus RTB) x 100</t>
  </si>
  <si>
    <t>PS - RTB</t>
  </si>
  <si>
    <t>Déployer l’offre de Codes Marchands sur l’ensemble du réseau.</t>
  </si>
  <si>
    <t>Déployer l’offre de paiement des Droits de Douanes par Carte</t>
  </si>
  <si>
    <t>KPI01-SAV</t>
  </si>
  <si>
    <t>(Nombre des comptes contrôlés dans amplitude et corrigés/Nombre des comptes ouvertes avec documentation) x 100</t>
  </si>
  <si>
    <t>KPI03-SAV</t>
  </si>
  <si>
    <t>Aucune RRC relatives aux conditions de banque paramétrées sur la période</t>
  </si>
  <si>
    <t>KPI06-SAV</t>
  </si>
  <si>
    <t>Demandes de confirmations (instructions ≥ XAF 10 Ms, BOL XAF&gt;= 1 Ms, BMS) traitées à J</t>
  </si>
  <si>
    <t>KPI07-SAV</t>
  </si>
  <si>
    <t>(Nombres de RRC clôturées dans les délais/ Nombre de RRC à clôturer sur la période) x 100</t>
  </si>
  <si>
    <t>KPI08-SAV</t>
  </si>
  <si>
    <t>NPS</t>
  </si>
  <si>
    <t>KPI11-SAV</t>
  </si>
  <si>
    <t>(Nombre d’EDS respectés/ Nombre total des EDS) x 100</t>
  </si>
  <si>
    <t>KPI12-SAV</t>
  </si>
  <si>
    <t>KPI13-SAV</t>
  </si>
  <si>
    <t>(Nombre de recommandations applicables au processus SAV mises en œuvre dans les délais / Nombre total de recommandations échues applicables au processus SAV) × 100</t>
  </si>
  <si>
    <t>PS - SAV</t>
  </si>
  <si>
    <t>Correct paramétrage de toutes les conditions générales de banque publiées</t>
  </si>
  <si>
    <t>100% des conditions affichées et accordées, correctement paramétrées et contrôlées (mises à jour)</t>
  </si>
  <si>
    <t>(Nombre de PC et serveurs avec base virale à jour / Nombre de PC et serveurs) * 100</t>
  </si>
  <si>
    <t xml:space="preserve">(Nombre de test réalisées / Nombre de test planifiés) * 100 </t>
  </si>
  <si>
    <t>(Nombre de recommandations applicables au processus SSI &amp; CA mises en œuvre dans les délais / Nombre total de recommandations échues applicables au processus SSI) × 100</t>
  </si>
  <si>
    <t>KPI02-RTB</t>
  </si>
  <si>
    <t>100% du volume des dépôts réalisés sur la période</t>
  </si>
  <si>
    <t>KPI03-RTB</t>
  </si>
  <si>
    <t>100% du volume des crédits réalisés sur la période</t>
  </si>
  <si>
    <t>KPI04-CRB</t>
  </si>
  <si>
    <t>KPI05-CRB</t>
  </si>
  <si>
    <t>KPI04-PRB</t>
  </si>
  <si>
    <t>100% du volume des dépôts réalisées sur la période</t>
  </si>
  <si>
    <t>KPI05-PRB</t>
  </si>
  <si>
    <t xml:space="preserve">Maintenir le Certificat AML 30000 </t>
  </si>
  <si>
    <t>Certificat AML 30000 maintenu</t>
  </si>
  <si>
    <t>Renforcer la gouvernance</t>
  </si>
  <si>
    <t>PS - GR</t>
  </si>
  <si>
    <t>Respecter les procédures en vigueur</t>
  </si>
  <si>
    <t xml:space="preserve">Maintenir à moins de 0,5% du RBE,  le niveau  de pertes opérationnelles de la Banque </t>
  </si>
  <si>
    <t xml:space="preserve">Réaliser et diffuser un mini film sur la culture d’entreprise (valeurs, dress code, etc) </t>
  </si>
  <si>
    <t>Scripts des scénarii rédigés et mini films réalisés avec l’appui du service Marketing
Une diffusion mensuelle</t>
  </si>
  <si>
    <t>Instaurer une journée annuelle dédiée à l'éthique et l’animer sur une semaine</t>
  </si>
  <si>
    <t>Annuelle (Octobre)</t>
  </si>
  <si>
    <t>Garantir les Ressources</t>
  </si>
  <si>
    <t>Maîtriser les Risques</t>
  </si>
  <si>
    <t>Transformer le Capital Humain</t>
  </si>
  <si>
    <t>Objectifs Qualité (Stratégique)</t>
  </si>
  <si>
    <t>Réaliser les missions d’Audit conformément au planning validé</t>
  </si>
  <si>
    <t>Mettre en œuvre les recommandations émanant des divers organes de contrôle (internes et externes)</t>
  </si>
  <si>
    <t xml:space="preserve">Mettre en œuvre dans les délais les recommandations émanant du collège des superviseurs </t>
  </si>
  <si>
    <t xml:space="preserve">Mettre en œuvre le plan de recrutement afin de répondre aux besoins quantitatifs et qualitatifs des RO en adéquation avec les postes visés </t>
  </si>
  <si>
    <t xml:space="preserve">Réaliser les formations suivant le planning validé afin de renforcer les compétences et accroitre la productivité </t>
  </si>
  <si>
    <t>Mesurer l’efficacité du programme de formation afin de s’assurer que le personnel formé a véritablement compris et assimilé la formation</t>
  </si>
  <si>
    <t xml:space="preserve">Evaluer la productivité du personnel </t>
  </si>
  <si>
    <t>Fixer des objectifs et évaluer sur période probatoire les employés promus</t>
  </si>
  <si>
    <t>Respecter les engagements de service inhérents à son Processus de rattachement.</t>
  </si>
  <si>
    <t>Mettre en œuvre les recommandations issues des enquêtes de satisfaction</t>
  </si>
  <si>
    <t>Respecter le délai règlementaire de traitement des RRC (30 jours réclamations classiques et 45 jours réclamations monétiques)</t>
  </si>
  <si>
    <t>Mettre en œuvre des actions d’amélioration (recommandations) identifiées lors des audits et contrôles</t>
  </si>
  <si>
    <t>PS - CMR</t>
  </si>
  <si>
    <t xml:space="preserve">Mettre à jour les procédures encadrant le traitement des opérations internationales </t>
  </si>
  <si>
    <t xml:space="preserve">Procédures mises à jour et validées </t>
  </si>
  <si>
    <t>KPI02-CON</t>
  </si>
  <si>
    <t>Evaluer le nombre de dossiers KYC clients conformes validés</t>
  </si>
  <si>
    <t>Nombre total de dossiers entreprises/CHR validés dans les délais de 72H/Nombre total de dossiers conformes soumis</t>
  </si>
  <si>
    <t>Respecter les exigences règlementaires relatifs aux opérations des clients PPE</t>
  </si>
  <si>
    <t>Respecter les exigences réglementaires</t>
  </si>
  <si>
    <t>KPI06-CON</t>
  </si>
  <si>
    <t xml:space="preserve">Evaluer le risque de Non-conformité des dossiers KYC </t>
  </si>
  <si>
    <t>KPI07-CON</t>
  </si>
  <si>
    <t>(Nombre de dossiers KYC des Clients CHR* conformes / Nombre total de dossiers KYC des Clients CHR*) * 100</t>
  </si>
  <si>
    <t>Réaliser le Plan de formation/sensibilisation 2025 sur les thématiques de la Conformité (Personnel de la Banque, Sous Agents etc.)</t>
  </si>
  <si>
    <t>(Nombre des formations/sensibilisations réalisés/Nombre des formations/sensibilisations prévues) × 100</t>
  </si>
  <si>
    <t xml:space="preserve">Evaluer le niveau de conformité de la banque aux règlements en vigueur </t>
  </si>
  <si>
    <t>S’assurer de la mise en œuvre des plans d’actions issus de l’évaluation/réévaluation des textes</t>
  </si>
  <si>
    <t>KPI13-CON</t>
  </si>
  <si>
    <t>S’assurer de la transmission des reportings règlementaires de la Banque</t>
  </si>
  <si>
    <t>KPI14-CON</t>
  </si>
  <si>
    <t xml:space="preserve">Assurer la conformité aux exigences réglementaires et aux normes internes du Groupe BGFIBank </t>
  </si>
  <si>
    <t>Mettre en œuvre les recommandations émanant des divers organes de contrôle et traiter les non-conformités liées au processus.</t>
  </si>
  <si>
    <t>Couvrir le programme annuel de contrôle validé</t>
  </si>
  <si>
    <t>Couvrir le plan de contrôle des produits digitaux</t>
  </si>
  <si>
    <t>Suivre la mise en œuvre des anomalies issues de la revue des habilitations</t>
  </si>
  <si>
    <t xml:space="preserve">S’assurer de la mise en œuvre des Points d’améliorations issus des contrôles </t>
  </si>
  <si>
    <t>Mettre en œuvre dans les délais les recommandations applicables au PX CP</t>
  </si>
  <si>
    <t xml:space="preserve">S’assurer du respect de l’engagement de service </t>
  </si>
  <si>
    <t>(Nombre des dossiers conformes traités dans les délais (15 jours) /Nombre des dossiers conformes) × 100 
 *« Clientèle Particuliers »</t>
  </si>
  <si>
    <t>KPI03-CR</t>
  </si>
  <si>
    <t>(Nombre des dossiers conformes traités dans les délais (20 jours) /Nombre des dossiers conformes) × 100
*« Clientèle Entreprises »</t>
  </si>
  <si>
    <t>Mesurer le taux de respect des limites des engagements par secteur.</t>
  </si>
  <si>
    <t>Mesurer le taux de respect des ratios règlementaires</t>
  </si>
  <si>
    <t>S’assurer du respect du coût global du crédit</t>
  </si>
  <si>
    <t>S’assurer du respect du ratio des créances douteuses</t>
  </si>
  <si>
    <t>Evaluer le taux de concentration des crédits au bilan</t>
  </si>
  <si>
    <t>Evaluer le taux de provisionnement des créances</t>
  </si>
  <si>
    <t>Veiller à la transmission dans les délais de tous les reporting règlementaires</t>
  </si>
  <si>
    <t>Mettre en œuvre des actions d’amélioration (recommandations) identifiées lors des audits et contrôles.</t>
  </si>
  <si>
    <t>KPI03-CRB</t>
  </si>
  <si>
    <t>KPI11-CRB</t>
  </si>
  <si>
    <t>Nombre des dossiers de demande de crédit conforme transmis à la FENG dans les délais de 14 jours /Nombre des dossiers de demande de crédit reçus</t>
  </si>
  <si>
    <t>KPI14-CRB</t>
  </si>
  <si>
    <t>Evaluer l’atteinte des objectifs commerciaux assignés (EER) afin d’assurer la rentabilité de la banque</t>
  </si>
  <si>
    <t>Evaluer l’atteinte des objectifs commerciaux assignés (PNB) afin d’assurer la rentabilité de la banque</t>
  </si>
  <si>
    <t xml:space="preserve">S’assurer du respect de l’EDS sur la visite client </t>
  </si>
  <si>
    <t>Mesurer le traitement d’une demande de financement de la clientèle</t>
  </si>
  <si>
    <t xml:space="preserve">Garantir l’expérience client </t>
  </si>
  <si>
    <t>Assurer le traitement conforme à la réglementation/Normes des instructions reçues (transfert, Cautions douanes………)</t>
  </si>
  <si>
    <t>Systématiser la réalisation des sensibilisations aux procédures de travail à la suite de chaque nouveau document d’activité du processus rédigé.</t>
  </si>
  <si>
    <t>100% des sensibilisations aux procédures de travail réalisées suite aux nouveaux documents d’activité</t>
  </si>
  <si>
    <t xml:space="preserve">S’assurer de la correcte mise en production des solutions </t>
  </si>
  <si>
    <t>Evaluer le taux d’intégrité des sauvegardes effectuées</t>
  </si>
  <si>
    <t>Evaluer le taux de suspens des DIM en terme du suivi des maintenances</t>
  </si>
  <si>
    <t>Mesurer l’efficacité du suivi des requêtes prises en charge dans les délais</t>
  </si>
  <si>
    <t xml:space="preserve">Evaluer le taux de traitement des vulnérabilités critiques et élevées </t>
  </si>
  <si>
    <t>Mesurer le taux de mise à jour des équipements informatiques</t>
  </si>
  <si>
    <t>Mesurer le taux de conformité des SLA internes/externes</t>
  </si>
  <si>
    <t>Mettre en œuvre les recommandations émanant des divers organes de contrôle (internes et externes) et traiter les non conformités liées au Processus.</t>
  </si>
  <si>
    <t xml:space="preserve">Evaluer le taux de respect des ratios de gestion et ratios réglementaires </t>
  </si>
  <si>
    <t xml:space="preserve">Evaluer le taux de régularisations des anomalies comptables </t>
  </si>
  <si>
    <t xml:space="preserve">Evaluer les pertes fiscales </t>
  </si>
  <si>
    <t>Mettre en œuvre les recommandations émanant des divers organes de contrôle (internes et externes) et traiter les non conformités liées au processus.</t>
  </si>
  <si>
    <t>Finaliser la mutation effective au nom de la Banque des titres fonciers des biens acquis par dation et adjudication et finaliser le processus de leur cession totale ainsi que des biens du projet dreaming colors</t>
  </si>
  <si>
    <t>100% des biens acquis par dation et adjudication effectivement mutés au nom de la banque et cédés</t>
  </si>
  <si>
    <t>Finaliser le processus de cession totale des biens acquis par dation et adjudication ainsi que des biens du projet dreaming colors</t>
  </si>
  <si>
    <t>La totalité des biens cédés</t>
  </si>
  <si>
    <t>KPI08-GJR</t>
  </si>
  <si>
    <t>100% du volume des créances recouvrés sur la période</t>
  </si>
  <si>
    <t>Respect des délais de convocation et de communication des documents, Respect des quorums requis, recueil des pouvoirs en cas d'absence d'actionnaires ou d'administrateurs selon le cas</t>
  </si>
  <si>
    <t>Rédiger et mettre à jour les procès-verbaux des C.A/AG et les registres sociaux</t>
  </si>
  <si>
    <t>Effectuer un suivi semestriel sur les cautions des débiteurs de la Banque le cas échéant</t>
  </si>
  <si>
    <t>Recouvrer les créances suivant l’objectif validé</t>
  </si>
  <si>
    <t>KPI02-GR</t>
  </si>
  <si>
    <t>Identifier et évaluer les risques de tous les processus de la banque</t>
  </si>
  <si>
    <t>(Nombre de processus à risque faible/modéré / Nombre de processus de la Banque) × 100</t>
  </si>
  <si>
    <t>Maintenir un niveau de pertes opérationnelles ≤ 0,5% du Résultat Brut d’Exploitation</t>
  </si>
  <si>
    <t>KPI06-GR</t>
  </si>
  <si>
    <t>KPI07-GR</t>
  </si>
  <si>
    <t xml:space="preserve">Monitorer les indicateurs de risque de crédit afin de ramener le niveau de risque dans les limites de l’appétence aux risques </t>
  </si>
  <si>
    <t>(Nombre de recommandations implémentées / Nombre de recommandations formulées) * 100</t>
  </si>
  <si>
    <t>KPI09-GR</t>
  </si>
  <si>
    <t>Mettre en œuvre les recommandations émanant des divers organes de contrôle (internes et externes) et traiter les non conformités liées au processus</t>
  </si>
  <si>
    <t>KPI03-MGS</t>
  </si>
  <si>
    <t>Réception des biens conformes aux commandes émises</t>
  </si>
  <si>
    <t>Traiter les dysfonctionnements identifiés</t>
  </si>
  <si>
    <t>KPI08-MGS</t>
  </si>
  <si>
    <t>Mesurer le taux de mise en œuvre des exigences de la Politique de Sécurité de la banque</t>
  </si>
  <si>
    <t>Eviter la destruction des Archives</t>
  </si>
  <si>
    <t>KPI10-MGS</t>
  </si>
  <si>
    <t>Evaluer le respect des délais de mise à disposition des cartes</t>
  </si>
  <si>
    <t>(Nombre de cartes mises à disposition dans les délais de 5 jours ouvrés / Nombre de cartes commandées) × 100</t>
  </si>
  <si>
    <t>(Nombre de chéquiers mis à disposition dans les délais (14 jours) / Nombre de chéquiers commandés) × 100</t>
  </si>
  <si>
    <t xml:space="preserve">Evaluer le respect des délais de mise à disposition des chéquiers </t>
  </si>
  <si>
    <t>(Nombres des instructions conformes traitées dans les délais de 72H/Nombre des instructions reçues) × 100</t>
  </si>
  <si>
    <t>S’assurer du respect des instructions de la clientèle (déplafonnement)</t>
  </si>
  <si>
    <t>S’assurer du blocage des cartes si non apurement (respect des exigences règlementaires)</t>
  </si>
  <si>
    <t>KPI08-MON</t>
  </si>
  <si>
    <t>S’assurer du respect des exigences réglementaires dans le traitement des requêtes et réclamations</t>
  </si>
  <si>
    <t>Nombre de demandes traitées dans les 48h / Nombre de demandes reçues et conformes</t>
  </si>
  <si>
    <t xml:space="preserve">Nombre des services digitaux mise en place/Nombre prévus  </t>
  </si>
  <si>
    <t>En rapport avec les orientations de la Direction Générale suivre et mettre en place de nouveaux produits et services</t>
  </si>
  <si>
    <t>KPI15-MON</t>
  </si>
  <si>
    <t xml:space="preserve">S’assurer de la transmission des reporting dans les délais </t>
  </si>
  <si>
    <t>KPI16-MON</t>
  </si>
  <si>
    <t>(Nombre d’instructions conformes apurées / Nombre d’instructions conformes traitées) × 100</t>
  </si>
  <si>
    <t xml:space="preserve">Assurer la satisfaction des clients dans le respect des SLA </t>
  </si>
  <si>
    <t xml:space="preserve">Assurer l’apurement de tous les dossiers financés par la Banque conformément à la réglementation en vigueur </t>
  </si>
  <si>
    <t>Nbre de correspondants avec de bonnes notes / Nbre total de correspondants</t>
  </si>
  <si>
    <t>Assurer une bonne relation avec les correspondants</t>
  </si>
  <si>
    <t xml:space="preserve">100% Réserves Obligatoires respectées </t>
  </si>
  <si>
    <t>Maitriser le respect des Réserves Obligatoires (RO)</t>
  </si>
  <si>
    <t>KPI08-OPT</t>
  </si>
  <si>
    <t xml:space="preserve">Mesurer la concentration des dépôts sur le même bénéficiaire ou groupe </t>
  </si>
  <si>
    <t>Mesurer la concentration des crédits sur le même bénéficiaire ou groupe</t>
  </si>
  <si>
    <t>Evaluer l’atteinte des objectifs commerciaux assignés (Dépôts) afin d’assurer la rentabilité de la banque</t>
  </si>
  <si>
    <t>Evaluer l’atteinte des objectifs commerciaux assignés (Crédits) afin d’assurer la rentabilité de la banque</t>
  </si>
  <si>
    <t>KPI07-PRB</t>
  </si>
  <si>
    <t>(Nombre de comptes transmis dans le délai de 8 jours ouvrés/Nombre des comptes ouverts sur la période) x 100</t>
  </si>
  <si>
    <t>Traiter les ouvertures de compte dans les délais en vigueur</t>
  </si>
  <si>
    <t>KPI10-PRB</t>
  </si>
  <si>
    <t>KPI11-PRB</t>
  </si>
  <si>
    <t>Veiller au respect des Engagements de Services suivant le périmètre défini</t>
  </si>
  <si>
    <t>KPI15-PRB</t>
  </si>
  <si>
    <t>Garantir l’expérience client au sein des agences Emeraude et Topaze</t>
  </si>
  <si>
    <t>KPI17-PRB</t>
  </si>
  <si>
    <t>PS - PRB</t>
  </si>
  <si>
    <t>Systématiser le ticket d’entrée des sociétés d’assurance à XAF 1 000 Ms minimum</t>
  </si>
  <si>
    <t>Evidence Placements</t>
  </si>
  <si>
    <t>Développer le crédit car-plan à l’endroit des clients BGFI Premier en partenariat avec les principaux concessionnaires de la place. (CAMI, AFROBENELUX, SKYMOTORS )</t>
  </si>
  <si>
    <t>A minima 2 par an</t>
  </si>
  <si>
    <t xml:space="preserve">Respecter les budgets alloués aux projets </t>
  </si>
  <si>
    <t>Produire les livrables attendus</t>
  </si>
  <si>
    <t>Traiter les incidents des projets</t>
  </si>
  <si>
    <t>Réaliser les critères d’acceptation du projet</t>
  </si>
  <si>
    <t>Produire les bilans projet</t>
  </si>
  <si>
    <t>Réaliser les missions d’organisation et veiller à la mise en œuvre des actions des missions d’organisation</t>
  </si>
  <si>
    <t>Evaluer la performance des processus du SMQ.</t>
  </si>
  <si>
    <t>KPI04-QLT</t>
  </si>
  <si>
    <t>Mettre en œuvre les recommandations Qualité (émises par le PX QLT)</t>
  </si>
  <si>
    <t>Déployer les Codes Marchands sur l’ensemble du réseau.</t>
  </si>
  <si>
    <t>Objectif de collecte
1 500 Ms</t>
  </si>
  <si>
    <t>Déployer la vente d’UV Orange Money en synergie avec la DCB</t>
  </si>
  <si>
    <t>Objectif de collecte
2 500 Ms</t>
  </si>
  <si>
    <t>Objectif : 4 110 Codes vendus</t>
  </si>
  <si>
    <t>Déployer l’offre de UV aux distributeurs Orange Money sur l’ensemble du réseau.</t>
  </si>
  <si>
    <t>50 Distributeurs enrôlés aux UV</t>
  </si>
  <si>
    <t>20 Clients enrôlés à E-GUCE</t>
  </si>
  <si>
    <t>Déployer l’offre de TPE sur l’ensemble du réseau.</t>
  </si>
  <si>
    <t>Objectif : 157 TPE déployés</t>
  </si>
  <si>
    <t>Déployer l’offre Cash management sur l’ensemble du réseau</t>
  </si>
  <si>
    <t>Objectif : 1485 produits Cash Management vendus</t>
  </si>
  <si>
    <t>Déployer l’offre BGFI Mobile Services (BMS) sur l’ensemble du réseau</t>
  </si>
  <si>
    <t>Objectif : 9337 BMS vendus</t>
  </si>
  <si>
    <t>Commercialiser les produits de Bancassurance</t>
  </si>
  <si>
    <t>Objectif : 22400 produits de Bancassurance vendus</t>
  </si>
  <si>
    <t>Mesurer la concentration des dépôts sur le même bénéficiaire ou groupe</t>
  </si>
  <si>
    <t>KPI13-RTB</t>
  </si>
  <si>
    <t>Evaluer le risque de pratique commerciale.</t>
  </si>
  <si>
    <t>Ressources / Emplois
*concerne uniquement le PX mère</t>
  </si>
  <si>
    <t>KPI14-RTB</t>
  </si>
  <si>
    <t>Garantir l’expérience client</t>
  </si>
  <si>
    <t>KPI18-RTB</t>
  </si>
  <si>
    <t>KPI19-RTB</t>
  </si>
  <si>
    <t>Mesurer le taux de contrôle des saisies des EER</t>
  </si>
  <si>
    <t>Evaluer le taux de réclamations sur les conditions paramétrées sur la période</t>
  </si>
  <si>
    <t xml:space="preserve">Traiter les confirmations des transactions dans les délais </t>
  </si>
  <si>
    <t>Respecter le délai règlementaire de traitement des RRC (45 jours ouvrés)</t>
  </si>
  <si>
    <t xml:space="preserve">Mesurer la propension de recommandation de la banque par la clientèle </t>
  </si>
  <si>
    <t>S’assurer du respect des engagements de service à la clientèle</t>
  </si>
  <si>
    <t>KPI01-SD</t>
  </si>
  <si>
    <t>Maîtriser le Coefficient d’exploitation</t>
  </si>
  <si>
    <t xml:space="preserve">Taux du coefficient net d’exploitation </t>
  </si>
  <si>
    <t>KPI02-SD</t>
  </si>
  <si>
    <t>Mesurer le taux de mise en œuvre des plans d’actions opérationnels validés</t>
  </si>
  <si>
    <t>Taux de mise en œuvre du plan stratégique validé sur la période</t>
  </si>
  <si>
    <t>KPI03-SD</t>
  </si>
  <si>
    <t>Respecter le budget validé par le CA</t>
  </si>
  <si>
    <t>Taux d’implémentation du budget filiale sur la période</t>
  </si>
  <si>
    <t>KPI05-SD</t>
  </si>
  <si>
    <t>Mesurer le taux de mise en œuvre des recommandations des C.A et AG</t>
  </si>
  <si>
    <t>Taux de mise en œuvre des recommandations des CA et AG</t>
  </si>
  <si>
    <t>KPI06-SD</t>
  </si>
  <si>
    <t>Respecter des délais de production des Reporting BHC</t>
  </si>
  <si>
    <t>(Nombre de Reporting transmis avant le 10 du mois M+1/ Nombre de Reporting à transmettre) x 100</t>
  </si>
  <si>
    <t>KPI07-SD</t>
  </si>
  <si>
    <t>Mettre en œuvre les actions d’amélioration (recommandations) identifiées lors des audits et contrôles</t>
  </si>
  <si>
    <t>(Nombre de recommandations applicables au processus SD mises en œuvre dans les délais / Nombre total de recommandations échues applicables au processus SD) x 100</t>
  </si>
  <si>
    <t xml:space="preserve">Evaluer le taux de mise à jour de la base antivirale des PC et serveurs </t>
  </si>
  <si>
    <t>KPI01-SSI/CA</t>
  </si>
  <si>
    <t>KPI02-SSI/CA</t>
  </si>
  <si>
    <t>KPI03-SSI/CA</t>
  </si>
  <si>
    <t>KPI04-SSI/CA</t>
  </si>
  <si>
    <t>KPI05-SSI/CA</t>
  </si>
  <si>
    <t>KPI06-SSI/CA</t>
  </si>
  <si>
    <t>KPI07-SSI/CA</t>
  </si>
  <si>
    <t>KPI08-SSI/CA</t>
  </si>
  <si>
    <t>KPI09-SSI/CA</t>
  </si>
  <si>
    <t>KPI10-SSI/CA</t>
  </si>
  <si>
    <t>(Systèmes d’exploitation à jour / Nombre de PC et serveurs) * 100</t>
  </si>
  <si>
    <t>Opérationnel</t>
  </si>
  <si>
    <t>(Nombre de contrôles de sécurité du SI effectués / Nombre total de contrôles de sécurité du SI prévus) × 100</t>
  </si>
  <si>
    <t>(Nombre des PA appliqués / Nombre des PA échus) × 90</t>
  </si>
  <si>
    <t>(Nombre de corrections implémentées / Nombre de corrections échues) * 90</t>
  </si>
  <si>
    <t>(Nombre de demandes d’habilitations traitées / Nombre de demandes d’habilitations reçues) * 100</t>
  </si>
  <si>
    <t>(Nombre des PA issus des test PCA appliqués / Nombre des PA échus) × 90</t>
  </si>
  <si>
    <t xml:space="preserve">Traiter les alertes de sécurité identifiées par les dispositifs de sécurité (Kaspersky, SOC, NNTChange Tracker) </t>
  </si>
  <si>
    <t>Evaluer le taux de mise à jour système des PC et serveurs</t>
  </si>
  <si>
    <t>S’assurer de l’application effective des mesures de sécurité du SI.</t>
  </si>
  <si>
    <t>Suivre la mise en œuvre des recommandations issues des contrôles SSI</t>
  </si>
  <si>
    <t>Suivre la correction des insuffisances relevées suite aux tests de pénétration/vulnérabilités</t>
  </si>
  <si>
    <t>S’assurer de la prise en charge des requêtes liées à la gestion des habilitations</t>
  </si>
  <si>
    <t>S’assurer de la réalisation des tests de PCA suivant le planning validé</t>
  </si>
  <si>
    <t>Suivre la mise en œuvre des recommandations issues des tests PCA</t>
  </si>
  <si>
    <t>KPI04-SD</t>
  </si>
  <si>
    <t>Respecter la Gouvernance</t>
  </si>
  <si>
    <t>(Nombre de comités tenus / Nombre de comités planifiés sur la période) x 100</t>
  </si>
  <si>
    <t>KPI02-SAV</t>
  </si>
  <si>
    <t>KPI04-SAV</t>
  </si>
  <si>
    <t>KPI05-SAV</t>
  </si>
  <si>
    <t>KPI09-SAV</t>
  </si>
  <si>
    <t>KPI10-SAV</t>
  </si>
  <si>
    <t xml:space="preserve">Mesurer le taux de contrôle des saisies et vente des produits et services </t>
  </si>
  <si>
    <t>(Nombre des produits/services contrôlés/Nombre des produits/services vendus) x 100</t>
  </si>
  <si>
    <t xml:space="preserve">Evaluer le taux de paramétrage dans les délais </t>
  </si>
  <si>
    <t>(Nombre de demandes de paramétrages traités dans les délais de 24H/ Nombre de demandes de paramétrages conformes reçues) × 100</t>
  </si>
  <si>
    <t>Mesurer le taux d’attrition (part de clients ayant clôturés leur compte)</t>
  </si>
  <si>
    <t>(Nombre de comptes clôturés sur la période / nombre de compte de la banque ouverts sur la période) × 100</t>
  </si>
  <si>
    <t>Respecter la fréquence de réalisation des enquêtes</t>
  </si>
  <si>
    <t>(Nombre d’enquêtes réalisées dans les délais/Nombre d’enquêtes à réaliser sur la période) × 100</t>
  </si>
  <si>
    <t>S’assurer de la mise en œuvre des plans d’actions issus des diverses enquêtes.</t>
  </si>
  <si>
    <t>(Nombre d’actions mises en œuvre /Nombre d’actions échues) x 100</t>
  </si>
  <si>
    <t>KPI09-RTB</t>
  </si>
  <si>
    <t>KPI10-RTB</t>
  </si>
  <si>
    <t>KPI12-RTB</t>
  </si>
  <si>
    <t>KPI17-RTB</t>
  </si>
  <si>
    <t xml:space="preserve">Evaluer la transmission dans les délais pour validation d’ouverture de comptes </t>
  </si>
  <si>
    <t>Ouvrir les comptes des Clients dans le respect des exigences (réglementaire et internes) en vigueur.</t>
  </si>
  <si>
    <t>(Nombre de dossiers Clients conformes / Nombre de d’ouverture de compte) x 100</t>
  </si>
  <si>
    <t>(Nombre de comptes clôturés sur la période / nombre de compte de la banque) × 100</t>
  </si>
  <si>
    <t>Limiter les dérogations sur les dossiers de crédit pouvoirs filiale uniquement aux inscriptions hypothécaires et aux garanties dont la formalisation dépend du financement sollicité sauf accord discrétionnaire de la Direction Générale (Voir procédure)</t>
  </si>
  <si>
    <t>Recouvrer les créances compromises.</t>
  </si>
  <si>
    <t>(Volume des anomalies / Volume total des engagements) × 100
*(anomalies de l’agence/total engagement de l’agence)
*Client en anomalies de + 90 jours</t>
  </si>
  <si>
    <t>Taux de participation à l’enquête agence = 100%</t>
  </si>
  <si>
    <t>KPI02-QLT</t>
  </si>
  <si>
    <t>KPI03-QLT</t>
  </si>
  <si>
    <t>KPI06-QLT</t>
  </si>
  <si>
    <t>Passer en revue Qualité les documents reçus.</t>
  </si>
  <si>
    <t>(Nombre de documents mis à jour / Nombre total de documents) × 100</t>
  </si>
  <si>
    <t>Réaliser le Plan de formation/sensibilisation/Communication 2024 de la Démarche Qualité (Personnel de la Banque, etc.)</t>
  </si>
  <si>
    <t>(Nombre des formations/sensibilisations/communication réalisées/Nombre des formations/sensibilisations prévues) * 100</t>
  </si>
  <si>
    <t>Evaluer l’efficacité des actions correctives</t>
  </si>
  <si>
    <t>(Nombre des actions correctives évaluées / Nombre des actions correctives échues et mises en œuvre) *100</t>
  </si>
  <si>
    <t>S’assurer du traitement optimal des FDASI en terme de délai</t>
  </si>
  <si>
    <t>(Nombre d’habilitations traitées dans les délais / Nombre de demandes d’habilitations reçues) × 100</t>
  </si>
  <si>
    <t>KPI03-PRO</t>
  </si>
  <si>
    <t>KPI04-PRO</t>
  </si>
  <si>
    <t>KPI08-PRO</t>
  </si>
  <si>
    <t>Respecter les plannings des projets</t>
  </si>
  <si>
    <t xml:space="preserve">(Nombre d’actions réalisées dans les délais / Nombre d’actions planifiées) * 100 </t>
  </si>
  <si>
    <t xml:space="preserve">S’assurer de la formation des chefs de projets </t>
  </si>
  <si>
    <t>(Nombre de chefs de projet formés /Nombre de projet) * 100</t>
  </si>
  <si>
    <t>S’assurer du taux d’évaluation des équipes projet</t>
  </si>
  <si>
    <t>(Nombre de fiches d’évaluation signées/ Nombre de membre de l’équipe projet) * 100</t>
  </si>
  <si>
    <t>KPI14-PRB</t>
  </si>
  <si>
    <t>(Nombre de dossiers conformes / Nombre d’EER réalisées sur la période) x 100</t>
  </si>
  <si>
    <t>Recouvrer les créances compromises afin de réduire le risque de crédit et d’assurer la rentabilité de la banque</t>
  </si>
  <si>
    <t>(Volume des anomalies / Volume total des engagements) × 100
*anomalies de l’agence/total engagement de l’agence</t>
  </si>
  <si>
    <t>Taux de participation à l’enquête agences = 100%</t>
  </si>
  <si>
    <t>KPI01-OPT</t>
  </si>
  <si>
    <t>KPI03-OPT</t>
  </si>
  <si>
    <t>KPI04-OPT</t>
  </si>
  <si>
    <t xml:space="preserve">(Nombre d’instructions traitées sans erreur / Nombre total d’instructions traitées) × 100 </t>
  </si>
  <si>
    <t xml:space="preserve">Mesurer le suivi des suspens comptables </t>
  </si>
  <si>
    <t>KPI01-MON</t>
  </si>
  <si>
    <t>KPI02-MON</t>
  </si>
  <si>
    <t>KPI07-MON</t>
  </si>
  <si>
    <t>KPI11-MON</t>
  </si>
  <si>
    <t>KPI12-MON</t>
  </si>
  <si>
    <t>KPI13-MON</t>
  </si>
  <si>
    <t>KPI14-MON</t>
  </si>
  <si>
    <t xml:space="preserve">Mesurer le respect des délais de prise en charge des requêtes des sous-agents </t>
  </si>
  <si>
    <t>(Nombre de Requêtes des sous –agents prises en charge au plus tard à J+1/Nombre total de Requêtes reçues à J) × 100</t>
  </si>
  <si>
    <t>Evaluer le niveau de disponibilité des GAB/DAB</t>
  </si>
  <si>
    <t>(Nombre d’heures de disponibilité des GAB-DAB/ Nombre d’heures totales) x 100</t>
  </si>
  <si>
    <t>Evaluer la prise en charge dans les délais des Requêtes VISA</t>
  </si>
  <si>
    <t>(Nombre de Requêtes VISA et GIMAC prises en charge dans un délai de 5 jours ouvrés/Nombre total de Requêtes VISA et GIMAC reçues) × 100</t>
  </si>
  <si>
    <t xml:space="preserve">S’assurer du traitement effectif de toutes les demandes  </t>
  </si>
  <si>
    <t>S’assurer de l’exhaustivité des intégrations des opérations monétiques</t>
  </si>
  <si>
    <t>(Nombre de transaction intégrées/ Nombre de transaction à intégrer) x 100</t>
  </si>
  <si>
    <t>	S’assurer que les couvertures soient faites dans les délais (24h)
	Liquidation quotidienne des soldes de compensation VISA</t>
  </si>
  <si>
    <t>(Nombre journée couvertes sur le(s) correspondent(s)/ Nombre de journées à couvrir) x 100</t>
  </si>
  <si>
    <t>S’assurer que les couvertures soient faites par chaque membre porté</t>
  </si>
  <si>
    <t>Suspens en cours dans les rapprochements Bancaire BEAC</t>
  </si>
  <si>
    <t>Effectuer les réconciliations des comptes monétiques et justifier les écarts</t>
  </si>
  <si>
    <t>(Nombre de comptes internes justifiés / Nombre de comptes internes à justifier) x 100</t>
  </si>
  <si>
    <t>KPI01-MGS</t>
  </si>
  <si>
    <t>KPI02-MGS</t>
  </si>
  <si>
    <t>KPI05-MGS</t>
  </si>
  <si>
    <t>Effectuer les livraisons internes dans le respect des délais</t>
  </si>
  <si>
    <t>(Nombre de livraisons conformes effectuées dans les délais / Nombre de DFO reçues) × 100 
*Livraisons effectuées au plus tard le 10 du mois</t>
  </si>
  <si>
    <t>Livraisons dans les délais par les fournisseurs</t>
  </si>
  <si>
    <t>(Nombre de commande fournisseur livré dans les délais/ Nombre commande fournisseurs émises sur le mois) * 100</t>
  </si>
  <si>
    <t>Maîtriser les stocks de biens et services</t>
  </si>
  <si>
    <t>Aucune rupture de stock de matériel clés sur le mois</t>
  </si>
  <si>
    <t>Prendre en charge les dysfonctionnements identifiés</t>
  </si>
  <si>
    <t>(Nombre de dysfonctionnements pris en charge à J+1 / Nombre de dysfonctionnements relevés) × 100</t>
  </si>
  <si>
    <t>Respecter le planning de maintenances préventives des équipements sensibles</t>
  </si>
  <si>
    <t>(Nombre de maintenances effectuées / Nombre de maintenance prévues) × 100</t>
  </si>
  <si>
    <t>KPI03-GR</t>
  </si>
  <si>
    <t>KPI04-GR</t>
  </si>
  <si>
    <t>Suivre l’implémentation des plans d’actions (PAO/PAS) issus de l’évaluation des risques</t>
  </si>
  <si>
    <t>(Nombre de Plans d’Action implémentés / Nombre de Plans d’Action définis) × 100</t>
  </si>
  <si>
    <t>Mesurer l’efficience du dispositif de maîtrise des risques (DMR)</t>
  </si>
  <si>
    <t>(Nombre de Plans d’Action implémentés évalués ‘efficients’ / Nombre de Plans d’Action implémentés) * 100</t>
  </si>
  <si>
    <t>Suivre la résolution des incidents déclarés dans la plateforme ATHENA</t>
  </si>
  <si>
    <t>(Nombres d’incidents pris en charge dans les délais / Nombre d’incidents déclarés) × 100</t>
  </si>
  <si>
    <t>Mesurer la transmission dans les délais des reportings</t>
  </si>
  <si>
    <t>(Nombre de reporting transmis dans les délais / Nombre de reporting à transmettre) × 100</t>
  </si>
  <si>
    <t>KPI03-GJR</t>
  </si>
  <si>
    <t>KPI04-GJR</t>
  </si>
  <si>
    <t>KPI05-GJR</t>
  </si>
  <si>
    <t>KPI07-GJR</t>
  </si>
  <si>
    <t>KPI11-GJR</t>
  </si>
  <si>
    <t xml:space="preserve">Rédiger ou revoir les contrats et conventions (convention de crédit, contrat de prestation, contrat d’achat ou de vente, protocole d’accord …) dans les délais </t>
  </si>
  <si>
    <t>(Nombre de contrats et conventions rédigés dans les délais / Nombre de contrats et conventions reçus) × 100
*5 jours sous seing privé
*10 jours notariés (après réception de toutes les pièces)</t>
  </si>
  <si>
    <t>Respecter les exigences contractuelles, conventionnelles et légales</t>
  </si>
  <si>
    <t>Zéro amende liée au non-respect des exigences contractuelles, conventionnelles et légales</t>
  </si>
  <si>
    <t>Réaliser un inventaire semestriel de toutes les garanties en portefeuille</t>
  </si>
  <si>
    <t>100% des inventaires réalisés dans les délais</t>
  </si>
  <si>
    <t>S’assurer de l’introduction des procédures contentieuses et des voies de recours dans les délais</t>
  </si>
  <si>
    <t>100% des procédures contentieuses introduites dans les délais</t>
  </si>
  <si>
    <t>Traiter les saisies et réquisitions diverses dans les délais</t>
  </si>
  <si>
    <t>(Nombre de requêtes (saisies, ATD, réquisitions, etc.) reçues et traitées dans les délais / Nombre de requêtes reçues) x 100</t>
  </si>
  <si>
    <t>KPI03-FIN</t>
  </si>
  <si>
    <t>KPI05-FIN</t>
  </si>
  <si>
    <t>Evaluer le Traitement correct des données comptables (factures, extournes de fonds clients, clôtures de comptes) afin d’assurer la fiabilité de l’information financière.</t>
  </si>
  <si>
    <t>(Nombre de données comptables traitées en 72h / Nombre total de données comptables à traiter) × 100</t>
  </si>
  <si>
    <t>(Nombre d’anomalies comptables régularisées / Nombre d’anomalies comptables à régulariser) × 100</t>
  </si>
  <si>
    <t>KPI02-EXI</t>
  </si>
  <si>
    <t>Mesurer le taux de sauvegarde des données effectuée avec succès</t>
  </si>
  <si>
    <t>(Nombre de sauvegardes effectuées avec succès / Nombre total de sauvegardes prévues) × 100</t>
  </si>
  <si>
    <t>KPI01-CRB</t>
  </si>
  <si>
    <t>KPI02-CRB</t>
  </si>
  <si>
    <t>KPI10-CRB</t>
  </si>
  <si>
    <t>KPI12-CRB</t>
  </si>
  <si>
    <t>KPI15-CRB</t>
  </si>
  <si>
    <t>(Nombre de dossiers conformes / Nombre d’ouverture de compte) x 100</t>
  </si>
  <si>
    <t>(Volume des anomalies / Volume total des engagements) × 100</t>
  </si>
  <si>
    <t>KPI01-CR</t>
  </si>
  <si>
    <t>KPI12-CR</t>
  </si>
  <si>
    <t>S’assurer de l’exhaustivité et la conformité des éléments constitutifs des dossiers de crédit.</t>
  </si>
  <si>
    <t>(Nombre des dossiers de crédit traités/Nombre des dossiers de crédit conformes) × 100</t>
  </si>
  <si>
    <t>S’assurer de la conformité des dossiers de crédit mis en place en termes de KYC</t>
  </si>
  <si>
    <t>(Nombre de dossiers conformes / Nombre de dossiers de crédit mis en place) × 100</t>
  </si>
  <si>
    <t>KPI03-CP</t>
  </si>
  <si>
    <t>Effectuer la revue des habilitations conformément au planning validé</t>
  </si>
  <si>
    <t>(Nombre de revue des habilitations réalisées/Nombre de revue des habilitations prévues) x 100</t>
  </si>
  <si>
    <t xml:space="preserve">S’assurer de la réalisation des sensibilisations de l’ensemble du personnel sur les réseaux des agences </t>
  </si>
  <si>
    <t xml:space="preserve">(Nombre de sensibilisation sur la culture de contrôle interne réalisé / Nombre de sensibilisation prévue) * 100 </t>
  </si>
  <si>
    <t>KPI01-CON</t>
  </si>
  <si>
    <t>KPI03-CON</t>
  </si>
  <si>
    <t>KPI08-CON</t>
  </si>
  <si>
    <t>Respecter les délais de traitement des demandes des correspondants bancaires</t>
  </si>
  <si>
    <t>(Nombre de réponses à la demande d’information émises en 72H/Nombre total de demande d’information reçues) × 100</t>
  </si>
  <si>
    <t xml:space="preserve">Respecter les délais de traitement des Procurations </t>
  </si>
  <si>
    <t xml:space="preserve">Nombre total de procurations Personnes morales contrôlées en 48H/Nombre total de procurations soumises </t>
  </si>
  <si>
    <t xml:space="preserve">Traiter les alertes dans les délais </t>
  </si>
  <si>
    <t>(Nombre d’alertes traitées dans les délais de 72H/ Nombre d’alertes enregistrées sur la période) × 100</t>
  </si>
  <si>
    <t>Réaliser les déclarations des conflits d’intérêts et proposer des Plans d’action</t>
  </si>
  <si>
    <t>(Nombres d’actions mises en œuvre / Nombres d’actions élaborées) × 100</t>
  </si>
  <si>
    <t>Mesurer l’efficacité des produits et services</t>
  </si>
  <si>
    <t xml:space="preserve">Capter les opportunités </t>
  </si>
  <si>
    <t>(Nombre d’actions marketing réalisées/Nombre d’actions marketing planifiées) x 100</t>
  </si>
  <si>
    <t>Respecter les exigences réglementaires (CNEF)</t>
  </si>
  <si>
    <t>Promouvoir l’innovation et garantir la satisfaction de nos clients</t>
  </si>
  <si>
    <t>S’assurer que les commissions sur les contrats d’assurance sont prélevées (Banque) et reversées (Assureurs)</t>
  </si>
  <si>
    <t>KPI09-CMR</t>
  </si>
  <si>
    <t>(Nombre de nouveaux produits de bancassurance validés et mis sur le marché/Nombre total de produits de bancassurance à mettre sur le marché sur la période) x 100</t>
  </si>
  <si>
    <t xml:space="preserve">Mesurer le taux mise en œuvre du plan de communication produit </t>
  </si>
  <si>
    <t xml:space="preserve">(Nombre de communication des produits réalisé/Nombre de communication des produits planifié) x 100 </t>
  </si>
  <si>
    <t xml:space="preserve">Mesurer le taux mise en œuvre du plan de communication institutionnel produit </t>
  </si>
  <si>
    <t xml:space="preserve">(Nombre de communication institutionnelle réalisée/Nombre de communication institutionnelle planifiés) x 100 </t>
  </si>
  <si>
    <t>Mesurer l’efficacité du des actions de communication afin de s’assurer de sa valeur ajoutée pour la Banque</t>
  </si>
  <si>
    <t>Nombre des actions de communication évaluées efficientes/Nombre des actions de communication réalisées</t>
  </si>
  <si>
    <t>KPI13-CMR</t>
  </si>
  <si>
    <t xml:space="preserve">Mesurer le taux d’engagement des internautes de la banque </t>
  </si>
  <si>
    <t>Nombre d’impressions totales/Nombre total d’abonnés</t>
  </si>
  <si>
    <t>Mesurer le e-réputation de la banque</t>
  </si>
  <si>
    <t>Réaliser des activités RSE : minimum une par trimestre</t>
  </si>
  <si>
    <t>KPI09-CH</t>
  </si>
  <si>
    <t>KPI10-CH</t>
  </si>
  <si>
    <t>KPI11-CH</t>
  </si>
  <si>
    <t>Evaluer le niveau de conformité aux exigences Santé et Sécurité au Travail (SST) applicables à la Banque</t>
  </si>
  <si>
    <t>Nombre d'incidents SST et/ou accidents de travail enregistrés du fait des conditions de travail</t>
  </si>
  <si>
    <t>Evaluer la conformité des dossiers administratifs du personne</t>
  </si>
  <si>
    <t>(Nombre de dossiers administratifs conformes / Nombre total des dossiers administratifs des salariés) × 100</t>
  </si>
  <si>
    <t>Mesurer la mise en congés du Personnel</t>
  </si>
  <si>
    <t>Taux de mise en Congé du personnel sur l’exercice ≥ 90%</t>
  </si>
  <si>
    <t>KPI02-AR</t>
  </si>
  <si>
    <t>Evaluer les auditeurs sur la conduite de la mission.</t>
  </si>
  <si>
    <t>Taux de satisfaction des missions évaluées d’au moins ≥ 90%</t>
  </si>
  <si>
    <t>Janvier</t>
  </si>
  <si>
    <t>Février</t>
  </si>
  <si>
    <t>Mars</t>
  </si>
  <si>
    <t>Avril</t>
  </si>
  <si>
    <t>Mai</t>
  </si>
  <si>
    <t>Juin</t>
  </si>
  <si>
    <t>Juillet</t>
  </si>
  <si>
    <t>Août</t>
  </si>
  <si>
    <t>Septembre</t>
  </si>
  <si>
    <t>PX</t>
  </si>
  <si>
    <t>CH</t>
  </si>
  <si>
    <t>CON</t>
  </si>
  <si>
    <t>CR</t>
  </si>
  <si>
    <t>CRB</t>
  </si>
  <si>
    <t>EXI</t>
  </si>
  <si>
    <t>FIN</t>
  </si>
  <si>
    <t>GJR</t>
  </si>
  <si>
    <t>GR</t>
  </si>
  <si>
    <t>PRB</t>
  </si>
  <si>
    <t>QLT</t>
  </si>
  <si>
    <t>RTB</t>
  </si>
  <si>
    <t>SAV</t>
  </si>
  <si>
    <t>PILIERS</t>
  </si>
  <si>
    <t>PRIORITES</t>
  </si>
  <si>
    <t xml:space="preserve">Renforcer la Gouvernance </t>
  </si>
  <si>
    <t>Renforcer la structure de Gouvernance du Groupe BGFIBank</t>
  </si>
  <si>
    <t>XAF 13 597 022 de pertes avéréées sur RBE XAF 1 188 273 919</t>
  </si>
  <si>
    <t>PS-GJR</t>
  </si>
  <si>
    <t>Suivi scrupuleux des recommandations des corps de contrôle par les différents métiers</t>
  </si>
  <si>
    <t>Assurer la conformité aux exigences  réglementaires et aux normes internes du Groupe BGFIBank</t>
  </si>
  <si>
    <t>Optimiser l’organisation centralisée d’initiation et de pilotage des projets structurants et autres investissements à forte valeur ajoutée</t>
  </si>
  <si>
    <t>Généraliser l’implémentation de la démarche Qualité au sein du Groupe BGFIBank</t>
  </si>
  <si>
    <t xml:space="preserve">Construire un parcours collaborateur enrichi </t>
  </si>
  <si>
    <t>Transformer le Groupe BGFIBank en   « organisation apprenante »</t>
  </si>
  <si>
    <t>Accroître la productivité du Capital Humain</t>
  </si>
  <si>
    <t>Gérer le patrimoine immobilier de BGFIBank Cameroun</t>
  </si>
  <si>
    <t>Recouvrer 30% du stock de créances douteuses</t>
  </si>
  <si>
    <t>Préserver les Fonds Propres de BGFIBank Cameroun</t>
  </si>
  <si>
    <t>Renforcer l’identification et la maîtrise des Risques et des plans de continuité d’activités</t>
  </si>
  <si>
    <t>Assurer l’efficacité des dispositifs de  contrôle interne</t>
  </si>
  <si>
    <t xml:space="preserve">Assurer le Dévéloppement </t>
  </si>
  <si>
    <t xml:space="preserve">Poursuivre le développement pays </t>
  </si>
  <si>
    <t>Elargir la base clientèle, renforcer la proximité clients, l’animation commerciale (Augmenter le nombre de clients, Renforcer et diversifier les canaux de distribution, Mettre en place un dispositif de surveillance et de pilotage des marges</t>
  </si>
  <si>
    <t>Développer le portefeuille clientèle du RTB à travers l’enrôlement à 360° : Entreprise - Promoteurs - Prestataire - Employés</t>
  </si>
  <si>
    <t>8 000 comptes ouverts</t>
  </si>
  <si>
    <t>2 nouvelles EMF</t>
  </si>
  <si>
    <t>120 EER en ligne</t>
  </si>
  <si>
    <t>Déployer l’offre partenariat MUFID UNION.</t>
  </si>
  <si>
    <t>Enrôler de nouveaux clients à BGFICollecte/LINK</t>
  </si>
  <si>
    <t>12 Clients enrôlés à BGFICollecte</t>
  </si>
  <si>
    <t>Objectif : 743 nouvelles souscriptions_x000B_Réalisé YTD : XAF 479 souscriptions</t>
  </si>
  <si>
    <t>Objectif : 4 669_x000B_Réalisé YTD : 2626 BMS souscrits</t>
  </si>
  <si>
    <t>Objectif : 11200_x000B_Réalisé YTD : En attente MARCOM</t>
  </si>
  <si>
    <t>Mettre en œuvre le plan marketing / Stratégie</t>
  </si>
  <si>
    <t xml:space="preserve">Rapport de veille tarifaire </t>
  </si>
  <si>
    <t>KPI11-CMR</t>
  </si>
  <si>
    <t>(Nombre d’opérations des PPE analysées/Nombre d’opérations de PPE objet d’alerte ) x 100</t>
  </si>
  <si>
    <t>(Nombre de reportings règlementaires incombant au Processus CON transmis dans les délais / Nombre de reportings règlementaires prévus pour le Processus) × 100</t>
  </si>
  <si>
    <t>(Nombre de demandes de transmission de reportings règlementaires adressées aux RMO/Nombre de reportings prévus pour les RMO) x 100</t>
  </si>
  <si>
    <t>KPI15-CON</t>
  </si>
  <si>
    <t>KPI16- CON</t>
  </si>
  <si>
    <t xml:space="preserve">Aucune RRC relatives aux diverses instructions de la clientèle sur la période </t>
  </si>
  <si>
    <t xml:space="preserve">(Nombre de comités tenus/Nombre de comités planifiés sur la période) x 100 </t>
  </si>
  <si>
    <t xml:space="preserve">Respecter la tenue des réunions des comités de la Direction Générale </t>
  </si>
  <si>
    <t>KPI12-GJR</t>
  </si>
  <si>
    <t>(Nombre d’incidents sécurité pris en charge dans les délais/Nombre d’incidents enregistrés sur la période) * 100
*Cf. cartographie des incidents sécurité
* PV de livraison signé des unités habilitées</t>
  </si>
  <si>
    <t>Taux de respect de planning d’archivage = 100%</t>
  </si>
  <si>
    <t>S’assurer de la mise en place des workflows pour l’optimisation des process</t>
  </si>
  <si>
    <t xml:space="preserve">(Nombre des workflows implémentés/Nombre de workflow prévu dans le plan de déploiement) x 100 </t>
  </si>
  <si>
    <t>KPI17-MON</t>
  </si>
  <si>
    <t>0 suspens à M-1</t>
  </si>
  <si>
    <t>KPI05-OPT</t>
  </si>
  <si>
    <t>(Nombre des dossiers des Correspondants Bancaires conformes/Nombre des Correspondants Bancaires) x 100</t>
  </si>
  <si>
    <t>S’assurer de la conformité des dossiers des correspondants bancaires</t>
  </si>
  <si>
    <t>(Total des 20 principaux dépôts / Total encours dépôts) x 100
*concerne uniquement le PX mère</t>
  </si>
  <si>
    <t>(Total des 20 principaux crédits / Total encours crédit) x 100
*concerne uniquement le PX mère</t>
  </si>
  <si>
    <t>Aucune RRC relatives aux diverses instructions de la clientèle sur la période</t>
  </si>
  <si>
    <t xml:space="preserve">(Nombre d'alertes de sécurité traitées dans les  délais impartis  / Nombre d'alertes de sécurité reçues) x 100
NB : Critique (24H) ; Elevé (48H) ; Moyen/Faible (72H). </t>
  </si>
  <si>
    <t>RS - AI</t>
  </si>
  <si>
    <t>Elaborer le cahier des charges pour la réalisation d’un outil collaboratif entre les corps de contrôle  permettant un suivi centraliser des travaux.</t>
  </si>
  <si>
    <t>Cahier des charges et AO validés et lancés</t>
  </si>
  <si>
    <t>Anuelle (Novembre)</t>
  </si>
  <si>
    <t>Efficacité Organisationnelle</t>
  </si>
  <si>
    <t>Tenir semestriellement une réunion de concertation des corps de contrôle</t>
  </si>
  <si>
    <t>Nombre de Comité tenus / Nombre de Comités planifiés sur la période</t>
  </si>
  <si>
    <t>Semetrielle</t>
  </si>
  <si>
    <t>Mettre en place des indicateurs sur la productivité des corps de contrôle</t>
  </si>
  <si>
    <t>Indicateurs sur la productivité des corps de contrôle mis en place et validés par la Direction Générale</t>
  </si>
  <si>
    <t>Anuelle (Février)</t>
  </si>
  <si>
    <t>Efficacité du Capital Humain</t>
  </si>
  <si>
    <t>Réaliser une formation interne à l’attention des corps de contrôle</t>
  </si>
  <si>
    <t>Formation réalisée</t>
  </si>
  <si>
    <t>Anuelle (Juillet)</t>
  </si>
  <si>
    <t>Communiquer en interne de façon encadrée et pédagogique sur les manquements constatés et les sanctions prononcées à l’issue des Conseils de discipline, dans le respect de la confidentialité et de la dignité des personnes : « PROGRAMME ZERO TOLERANCE »</t>
  </si>
  <si>
    <t>Diffusion d’une note interne suite aux manquements constatés à l’issue des conseils de discipline</t>
  </si>
  <si>
    <t>RS - CH</t>
  </si>
  <si>
    <t>Arrimage à la journée mondiale de l’étique chaque 18 octobre</t>
  </si>
  <si>
    <t>Valoriser les comportements exemplaires en mettant à l’honneur des collaborateurs exemplaires sélectionnés selon le prisme de nos valeurs « TITRE »</t>
  </si>
  <si>
    <t>Désignation de cinq collaborateurs chaque trimestre</t>
  </si>
  <si>
    <t>Sensibiliser les collaborateurs aux risques opérationnels/éthiques et réglementaires et communiquer sur le dispositif d’alerte interne Whistleblowing</t>
  </si>
  <si>
    <t>Diffusion d’une sensibilisation sur le dispositif d’alerte « Whistleblowing »</t>
  </si>
  <si>
    <t>Efficacité des Ressources</t>
  </si>
  <si>
    <t>Communiquer mensuellement des « Tips productivité » sur les bonnes pratiques opérationnelles et comportementales.
Ex : Préparation des RDV clients, diligence avant forçage, journée type CRC/RA, etc.)</t>
  </si>
  <si>
    <t xml:space="preserve">Mensuelle </t>
  </si>
  <si>
    <t>Efficacité Commerciale</t>
  </si>
  <si>
    <t>RS - CMR</t>
  </si>
  <si>
    <t>Mettre à jour la fiche de catalogue des produits et services de la banque suivant les différents marchés</t>
  </si>
  <si>
    <t>Catalogue MAJ</t>
  </si>
  <si>
    <t>Renforcer la présence médiatique de la marque BGFIBank : 24 insertions presse/an suivant l’actualité</t>
  </si>
  <si>
    <t>06 insertions presse par trimestre</t>
  </si>
  <si>
    <t>Valoriser les comportements exemplaires en mettant à l’honneur des collaborateurs exemplaires sélectionnés selon le prisme de nos valeurs TITRE</t>
  </si>
  <si>
    <t>Nombre staff valorisés</t>
  </si>
  <si>
    <t>Mars
Juin 
Septembre</t>
  </si>
  <si>
    <t>08 Sensibilisations – Formations sur les produits – Astuces du quotidien</t>
  </si>
  <si>
    <t>02 Sensibilisations – Formations sur les produits - Astuces du quotidien / trimestre</t>
  </si>
  <si>
    <t>Mars
Juin 
Août
Novembre</t>
  </si>
  <si>
    <t xml:space="preserve">Tips envoyées / mois </t>
  </si>
  <si>
    <t>Communiquer sur la marque Employeur (Tribunes Employés, Offres d’emploi etc.). – 4  communications sur la marque Employeur (BGFIHuman –BGFIChiffres……)</t>
  </si>
  <si>
    <t>04 communications sur la marque employeur (offres d’emploi, performances commerciales semestrielles, diffusions concept….)</t>
  </si>
  <si>
    <t>Intensifier la communication sur les produits et services digitaux et en promouvoir l’usage interne</t>
  </si>
  <si>
    <t>100% de staffs enrôlés</t>
  </si>
  <si>
    <t>Février
Avril 
Juin
Octobre</t>
  </si>
  <si>
    <t>Développer les produits de Bancassurance pour étoffer le catalogue et optimiser la rentabilité commerciale</t>
  </si>
  <si>
    <t>Suivant la stratégie validée</t>
  </si>
  <si>
    <t>Avril 
Août</t>
  </si>
  <si>
    <t xml:space="preserve">Transmettre par SMS au client, le nom et adresse des nouveaux gestionnaires dès changements </t>
  </si>
  <si>
    <t xml:space="preserve">Nombre de SMS envoyés aux clients / changement de gestionnaire </t>
  </si>
  <si>
    <t>Contribuer à la rentabilité de la Banque via les produits de Bancassurance</t>
  </si>
  <si>
    <t>BGFIÉtude + : 50 contrats de souscription</t>
  </si>
  <si>
    <t>Commission BGFIÉtude + : XAF 2 500 000</t>
  </si>
  <si>
    <t>BGFIHéritage : 60 contrats de souscription</t>
  </si>
  <si>
    <t>Commission BGFIHéritage : XAF 11 250 000</t>
  </si>
  <si>
    <t>BGFIHomeSecure : 1000 contrats de souscription</t>
  </si>
  <si>
    <t>Commission BGFIHomeSecure : XAF 7 500 000</t>
  </si>
  <si>
    <t>Commission BGFI Crédits, BGFI Crédits +, (Co-assurance) : XAF 25 500 000</t>
  </si>
  <si>
    <t>BGFI Comptes Protégés : 5000 contrats de souscription</t>
  </si>
  <si>
    <t>Commission BGFI Comptes Protégés : XAF 5 000 000</t>
  </si>
  <si>
    <t>Assurance Voyage : 300 contrats de souscription</t>
  </si>
  <si>
    <t>Commission Assurance Voyage : XAF 2 250 000</t>
  </si>
  <si>
    <t>BGFIÉtude (Nouvelle formule) : 500 contrats de souscription</t>
  </si>
  <si>
    <t>Commission BGFIÉtude (Nouvelle formule) : XAF 2 500 000</t>
  </si>
  <si>
    <t>Assurance Auto : 100 contrats de souscription</t>
  </si>
  <si>
    <t>Commission Assurance Auto : XAF 1 500 000</t>
  </si>
  <si>
    <t>Taux de MEO du plan de contrôles = 100%</t>
  </si>
  <si>
    <t>Renforcer les contrôles sur les activités de la monétique et la surveillance des comptes internes</t>
  </si>
  <si>
    <t>RS - CP</t>
  </si>
  <si>
    <t>Taux de réalisation des contrôles planifiés 100%</t>
  </si>
  <si>
    <t>RS - CRB</t>
  </si>
  <si>
    <t>Mettre à jour les modalités d’évaluation des performances en les alignant aux objectifs de productivité</t>
  </si>
  <si>
    <t>Evaluation semestrielle de chaque collaborateur hors manager</t>
  </si>
  <si>
    <t>Suivre le recouvrement des créances douteuses du processus CRB</t>
  </si>
  <si>
    <t>25% du montant global des créances douteuses et immobilisés au 31/12/2025 recouvrées</t>
  </si>
  <si>
    <t>Diversifier les sources de refinancement</t>
  </si>
  <si>
    <t>Au moins quatre (4) dossiers accordés en refinancement BEAC</t>
  </si>
  <si>
    <t xml:space="preserve">Commercialiser le produit Cash Management </t>
  </si>
  <si>
    <t>Objectif : 20 Cash Management commercialisés</t>
  </si>
  <si>
    <t>Objectif : 18 Visa Business/Package</t>
  </si>
  <si>
    <t>Objectif : 18 BGFINight</t>
  </si>
  <si>
    <t>Objectif : 190 000</t>
  </si>
  <si>
    <t>Commercialiser le produit VISA BUSINESS / PACKAGE</t>
  </si>
  <si>
    <t>Commercialiser le produit BGFINIGHT</t>
  </si>
  <si>
    <t xml:space="preserve">Effecteur les transferts de la clientèle </t>
  </si>
  <si>
    <t>Site Web BGFI Cameroun</t>
  </si>
  <si>
    <t>WhatsAPP for Call Center</t>
  </si>
  <si>
    <t>Mise en place de la plate forme d’échanges Tresorpay</t>
  </si>
  <si>
    <t>Activer le choix multiple des comptes aux GABS sur la même carte</t>
  </si>
  <si>
    <t>Site Web Disponible</t>
  </si>
  <si>
    <t>WhatsApp déployé et fonctionnel</t>
  </si>
  <si>
    <t>Plate forme tresor Pay fonctionnelle</t>
  </si>
  <si>
    <t>Choix multiple des comptes aux GABS sur la même carte actée</t>
  </si>
  <si>
    <t>Anuelle (Juin)</t>
  </si>
  <si>
    <t>Anuelle (Mars)</t>
  </si>
  <si>
    <t>Anuelle (Mai)</t>
  </si>
  <si>
    <t>100% des procédures adéquates mises en œuvre à l’endroit des débiteurs</t>
  </si>
  <si>
    <t>RS - MGS</t>
  </si>
  <si>
    <t>Analyser l’opportunité de réduire de 20% les charges  liées à l’électricité via les panneaux solaires</t>
  </si>
  <si>
    <t>Emission du rapport d’étude à la hiérarchie pour décision</t>
  </si>
  <si>
    <t>Annuelle (Août)</t>
  </si>
  <si>
    <t>Réactivation des comptes Assurances dormants et maintien du ticket d’entrée de XAF 1 000 Ms minimum pour développement le volet bancassurance (Etat des comptes dormants du portefeuille Assurance au 31/12/2025)</t>
  </si>
  <si>
    <t>Nombre des comptes dormants réactivés/Nombre des comptes dormants au 31/12/2025</t>
  </si>
  <si>
    <t>Nombre des comptes dormants réactivés avec ticket d’entrée de XAF 1 000 Ms/Nombre de comptes dormants réactivés</t>
  </si>
  <si>
    <t>Commercialiser le produit BGFIInvest</t>
  </si>
  <si>
    <t>Commercialiser le produit B-Alert</t>
  </si>
  <si>
    <t>Commercialiser le produit BMS</t>
  </si>
  <si>
    <t>Commercialiser le produit VISA INFINITE</t>
  </si>
  <si>
    <t>Commercialiser le produit VISA PLATINUM</t>
  </si>
  <si>
    <t>Commercialiser le produit VISA GOLD</t>
  </si>
  <si>
    <t>Objectif : XAF 2 500 Ms en volume</t>
  </si>
  <si>
    <t>Objectif : 75 Cash Management commercialisés</t>
  </si>
  <si>
    <t>Objectif : 67 B-Alert</t>
  </si>
  <si>
    <t>Objectif : 95 BMS</t>
  </si>
  <si>
    <t xml:space="preserve">Objectif : 23 Visa Infinite </t>
  </si>
  <si>
    <t>Objectif : 10 Visa Platinum</t>
  </si>
  <si>
    <t>Objectif : 80 Visa Gold</t>
  </si>
  <si>
    <t>RS - PRB</t>
  </si>
  <si>
    <t>Commercialiser le produit VISA BUSINESS</t>
  </si>
  <si>
    <t>Commercialiser le produit PACKAGE PREMIUM</t>
  </si>
  <si>
    <t>Renforcer la vente des coffres fort</t>
  </si>
  <si>
    <t>Objectif : 5 Visa Business</t>
  </si>
  <si>
    <t>Objectif : 80 Package premium</t>
  </si>
  <si>
    <t>Objectif : 03 Coffre fort</t>
  </si>
  <si>
    <t>Semestrielle (Juin et Novembre)</t>
  </si>
  <si>
    <t>RS - PRO</t>
  </si>
  <si>
    <t>Mettre en place des outils collaboratifs de travail entre le bureau des projets, les chefs projet et les équipes projets (Répertoire partagée et/ou plateforme numérique)</t>
  </si>
  <si>
    <t>Répertoire partagé ou logiciel installé et fonctionnel</t>
  </si>
  <si>
    <t>Annuelle (Juillet)</t>
  </si>
  <si>
    <t>Automatiser le processus de gestion des garanties au sein BGFIBank Cameroun</t>
  </si>
  <si>
    <t>Procès-Verbal de réception de la solution validé</t>
  </si>
  <si>
    <t xml:space="preserve">Créer, au sein de la DRB, une unité rattachée au département des produits digitaux en charge de la Recherche et du Développement. </t>
  </si>
  <si>
    <t>Flash Infos</t>
  </si>
  <si>
    <t>Sensibiliser les équipes commerciales pendant les kick-off matinaux à travers des thèmes à aborder</t>
  </si>
  <si>
    <t>Un (01) compte rendu de formation par module</t>
  </si>
  <si>
    <t>Renforcer les stratégies d’élargissement de la base clientèle.</t>
  </si>
  <si>
    <t>Ouvrir de nouvelles Agences et Cash Point.</t>
  </si>
  <si>
    <t>Multiplier les partenariats avec les FINTECH et opérateurs de  TELECOM.</t>
  </si>
  <si>
    <t>Objectifs : 10 000 nouvelles EER</t>
  </si>
  <si>
    <t>Trois (03) nouvelles Agences et Un (01) Cash Point</t>
  </si>
  <si>
    <t>Partenariats signés</t>
  </si>
  <si>
    <t>Assurer la collecte des dépôts via les produits digitaux.</t>
  </si>
  <si>
    <t>Vente des UV OM : 27 800 Ms</t>
  </si>
  <si>
    <t>Codes Marchands : 700 souscriptions</t>
  </si>
  <si>
    <t>Codes Marchands : 5 010 Ms</t>
  </si>
  <si>
    <t>TPE : 23 souscriptions</t>
  </si>
  <si>
    <t>TPE  : 1 425 Ms</t>
  </si>
  <si>
    <t xml:space="preserve">Cartes prépayées : 1 200 ventes </t>
  </si>
  <si>
    <t>Cartes Prépayées : 1 515 Ms</t>
  </si>
  <si>
    <t>E-GUCE : 990 Ms</t>
  </si>
  <si>
    <t>Encaissement SABC : 2 400 Ms</t>
  </si>
  <si>
    <t>BGFISchool Pay : 40 souscriptions</t>
  </si>
  <si>
    <t>BGFISchool Pay : 100 Ms</t>
  </si>
  <si>
    <t>Link-Chèque : 10 souscriptions</t>
  </si>
  <si>
    <t>Link-Chèque : 10 500 Ms</t>
  </si>
  <si>
    <t>BMS non-clients : 100</t>
  </si>
  <si>
    <t>Autres produits : 7 500</t>
  </si>
  <si>
    <t>Respecter le planning de sensibilisation/formation validé par la D°G</t>
  </si>
  <si>
    <t>PS - SSI/CA</t>
  </si>
  <si>
    <t>Nombre de sensibilisation/formation réalisée/Nombre de sensibilisation/formation planifié</t>
  </si>
  <si>
    <t>Réaliser trois (03) communication/sensibilisation  sur l’orientation client dans BBC News</t>
  </si>
  <si>
    <t>03 trois communication /sensibilisation par an</t>
  </si>
  <si>
    <t>Mars
Juillet
Novembre</t>
  </si>
  <si>
    <t>Mettre à jour et déployer le Plan de contrôle de la fonction Conformité</t>
  </si>
  <si>
    <t>PS - CP</t>
  </si>
  <si>
    <t>Mettre à jour et déployer le Plan de contrôle de la fonction Contrôle Permanent</t>
  </si>
  <si>
    <t>Mettre à jour et déployer le Plan de contrôle de la fonction SSI</t>
  </si>
  <si>
    <t>Octobre</t>
  </si>
  <si>
    <t>Novembre</t>
  </si>
  <si>
    <t>Décembre</t>
  </si>
  <si>
    <t xml:space="preserve">Repertoire des indicateurs de performance (KPI) </t>
  </si>
  <si>
    <t>Audit Interne</t>
  </si>
  <si>
    <t>Capital Humain</t>
  </si>
  <si>
    <t>Communication, Marketing &amp; RSE</t>
  </si>
  <si>
    <t>Conformité</t>
  </si>
  <si>
    <t>Contrôle Permanent</t>
  </si>
  <si>
    <t>Crédit</t>
  </si>
  <si>
    <t>Corporate Banking</t>
  </si>
  <si>
    <t>Exploitation Informatique</t>
  </si>
  <si>
    <t>Finance</t>
  </si>
  <si>
    <t xml:space="preserve">Gouvernance, Juridque et Recouvrement </t>
  </si>
  <si>
    <t>Gestion des risques</t>
  </si>
  <si>
    <t>Moyens Généraux &amp; Sécurité</t>
  </si>
  <si>
    <t>Monétique</t>
  </si>
  <si>
    <t>Opérations et Trésorerie</t>
  </si>
  <si>
    <t>Private Banking</t>
  </si>
  <si>
    <t>Projets &amp; Organisation</t>
  </si>
  <si>
    <t>Qualité</t>
  </si>
  <si>
    <t>Retail Banking</t>
  </si>
  <si>
    <t>Service après Vente</t>
  </si>
  <si>
    <t xml:space="preserve">Stratégie &amp; Développement </t>
  </si>
  <si>
    <t>Sécurité des Systèmes d'Information / Continuité des Activités</t>
  </si>
  <si>
    <t>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</si>
</sst>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 _€_-;\-* #,##0.00\ _€_-;_-* &quot;-&quot;??\ _€_-;_-@_-"/>
    <numFmt numFmtId="165" formatCode="dd\-mm\-yy"/>
    <numFmt numFmtId="166" formatCode="_ [$€-2]\ * #,##0.00_ ;_ [$€-2]\ * \-#,##0.00_ ;_ [$€-2]\ * &quot;-&quot;??_ "/>
    <numFmt numFmtId="167" formatCode="0.0%"/>
    <numFmt numFmtId="168" formatCode="_-* #,##0.00\ _F_._C_F_-;\-* #,##0.00\ _F_._C_F_-;_-* &quot;-&quot;??\ _F_._C_F_-;_-@_-"/>
    <numFmt numFmtId="169" formatCode="_(* #,##0.0_);_(* \(#,##0.0\);_(* &quot;-&quot;??_);_(@_)"/>
    <numFmt numFmtId="170" formatCode="_-* #,##0\ _€_-;\-* #,##0\ _€_-;_-* &quot;-&quot;??\ _€_-;_-@_-"/>
    <numFmt numFmtId="171" formatCode="[$-40C]d/mmm/yy;@"/>
    <numFmt numFmtId="172" formatCode="mmmm\-yy"/>
  </numFmts>
  <fonts count="74">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Agency FB"/>
      <family val="2"/>
    </font>
    <font>
      <sz val="11"/>
      <color theme="1"/>
      <name val="Agency FB"/>
      <family val="2"/>
    </font>
    <font>
      <b/>
      <sz val="11"/>
      <color theme="1"/>
      <name val="Agency FB"/>
      <family val="2"/>
    </font>
    <font>
      <sz val="11"/>
      <color indexed="8"/>
      <name val="Calibri"/>
      <family val="2"/>
    </font>
    <font>
      <sz val="12"/>
      <color theme="1"/>
      <name val="Arial Narrow"/>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Times New Roman"/>
      <family val="1"/>
    </font>
    <font>
      <sz val="10"/>
      <name val="Tms Rmn"/>
    </font>
    <font>
      <sz val="11"/>
      <color indexed="62"/>
      <name val="Calibri"/>
      <family val="2"/>
    </font>
    <font>
      <sz val="10"/>
      <name val="Arial"/>
      <family val="2"/>
    </font>
    <font>
      <sz val="11"/>
      <color indexed="20"/>
      <name val="Calibri"/>
      <family val="2"/>
    </font>
    <font>
      <sz val="11"/>
      <color indexed="8"/>
      <name val="Lucida Console"/>
      <family val="2"/>
    </font>
    <font>
      <sz val="11"/>
      <color indexed="60"/>
      <name val="Calibri"/>
      <family val="2"/>
    </font>
    <font>
      <sz val="11"/>
      <color theme="1"/>
      <name val="Lucida Console"/>
      <family val="2"/>
    </font>
    <font>
      <sz val="11"/>
      <color theme="1"/>
      <name val="Calibri Light"/>
      <family val="2"/>
    </font>
    <font>
      <sz val="11"/>
      <color indexed="8"/>
      <name val="Arial"/>
      <family val="2"/>
    </font>
    <font>
      <b/>
      <sz val="8"/>
      <name val="Arial"/>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color theme="1"/>
      <name val="Arial Narrow"/>
      <family val="2"/>
    </font>
    <font>
      <sz val="11"/>
      <color theme="1"/>
      <name val="Arial Narrow"/>
      <family val="2"/>
    </font>
    <font>
      <b/>
      <sz val="11"/>
      <color theme="1"/>
      <name val="Arial Narrow"/>
      <family val="2"/>
    </font>
    <font>
      <b/>
      <sz val="10"/>
      <color theme="1"/>
      <name val="Arial Narrow"/>
      <family val="2"/>
    </font>
    <font>
      <sz val="16"/>
      <color theme="1"/>
      <name val="Arial Narrow"/>
      <family val="2"/>
    </font>
    <font>
      <b/>
      <sz val="16"/>
      <color theme="3" tint="-0.249977111117893"/>
      <name val="Arial Narrow"/>
      <family val="2"/>
    </font>
    <font>
      <b/>
      <sz val="16"/>
      <color theme="1"/>
      <name val="Arial Narrow"/>
      <family val="2"/>
    </font>
    <font>
      <b/>
      <sz val="16"/>
      <color theme="6" tint="0.39997558519241921"/>
      <name val="Arial Narrow"/>
      <family val="2"/>
    </font>
    <font>
      <b/>
      <sz val="26"/>
      <color theme="6" tint="-0.499984740745262"/>
      <name val="Arial Narrow"/>
      <family val="2"/>
    </font>
    <font>
      <sz val="26"/>
      <color theme="1"/>
      <name val="Arial Narrow"/>
      <family val="2"/>
    </font>
    <font>
      <b/>
      <sz val="26"/>
      <color theme="6" tint="0.39997558519241921"/>
      <name val="Arial Narrow"/>
      <family val="2"/>
    </font>
    <font>
      <sz val="26"/>
      <color theme="6" tint="0.39997558519241921"/>
      <name val="Arial Narrow"/>
      <family val="2"/>
    </font>
    <font>
      <b/>
      <sz val="14"/>
      <color theme="3" tint="-0.249977111117893"/>
      <name val="Arial Narrow"/>
      <family val="2"/>
    </font>
    <font>
      <sz val="14"/>
      <color rgb="FF002060"/>
      <name val="Arial Narrow"/>
      <family val="2"/>
    </font>
    <font>
      <b/>
      <sz val="20"/>
      <color theme="6" tint="-0.499984740745262"/>
      <name val="Arial Narrow"/>
      <family val="2"/>
    </font>
    <font>
      <sz val="20"/>
      <color theme="1"/>
      <name val="Arial Narrow"/>
      <family val="2"/>
    </font>
    <font>
      <b/>
      <sz val="20"/>
      <color theme="6" tint="0.39997558519241921"/>
      <name val="Arial Narrow"/>
      <family val="2"/>
    </font>
    <font>
      <sz val="20"/>
      <color theme="1"/>
      <name val="Agency FB"/>
      <family val="2"/>
    </font>
    <font>
      <b/>
      <sz val="20"/>
      <color theme="3" tint="-0.249977111117893"/>
      <name val="Arial Narrow"/>
      <family val="2"/>
    </font>
    <font>
      <b/>
      <sz val="20"/>
      <color theme="1"/>
      <name val="Arial Narrow"/>
      <family val="2"/>
    </font>
    <font>
      <b/>
      <sz val="20"/>
      <color theme="3" tint="-0.499984740745262"/>
      <name val="Arial Narrow"/>
      <family val="2"/>
    </font>
    <font>
      <b/>
      <sz val="20"/>
      <color theme="1"/>
      <name val="Agency FB"/>
      <family val="2"/>
    </font>
    <font>
      <b/>
      <sz val="20"/>
      <color theme="0"/>
      <name val="Agency FB"/>
      <family val="2"/>
    </font>
    <font>
      <sz val="20"/>
      <color rgb="FF002060"/>
      <name val="Arial Narrow"/>
      <family val="2"/>
    </font>
    <font>
      <sz val="14"/>
      <color theme="1"/>
      <name val="Arial Narrow"/>
      <family val="2"/>
    </font>
    <font>
      <b/>
      <sz val="18"/>
      <color theme="6" tint="-0.499984740745262"/>
      <name val="Arial Narrow"/>
      <family val="2"/>
    </font>
    <font>
      <b/>
      <sz val="14"/>
      <color rgb="FF002060"/>
      <name val="Arial Narrow"/>
      <family val="2"/>
    </font>
  </fonts>
  <fills count="6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65"/>
        <bgColor indexed="64"/>
      </patternFill>
    </fill>
    <fill>
      <patternFill patternType="solid">
        <fgColor indexed="22"/>
        <bgColor indexed="64"/>
      </patternFill>
    </fill>
    <fill>
      <patternFill patternType="solid">
        <fgColor indexed="55"/>
      </patternFill>
    </fill>
    <fill>
      <patternFill patternType="solid">
        <fgColor rgb="FF548DD4"/>
        <bgColor indexed="64"/>
      </patternFill>
    </fill>
    <fill>
      <patternFill patternType="solid">
        <fgColor rgb="FFC2D69B"/>
        <bgColor indexed="64"/>
      </patternFill>
    </fill>
    <fill>
      <patternFill patternType="solid">
        <fgColor rgb="FFE7EBF5"/>
        <bgColor indexed="64"/>
      </patternFill>
    </fill>
    <fill>
      <patternFill patternType="solid">
        <fgColor rgb="FFCCD5EA"/>
        <bgColor indexed="64"/>
      </patternFill>
    </fill>
    <fill>
      <patternFill patternType="solid">
        <fgColor rgb="FF0065A6"/>
        <bgColor indexed="64"/>
      </patternFill>
    </fill>
    <fill>
      <patternFill patternType="solid">
        <fgColor rgb="FFCBD3E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s>
  <borders count="4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right/>
      <top style="medium">
        <color rgb="FFFFFFFF"/>
      </top>
      <bottom/>
      <diagonal/>
    </border>
    <border>
      <left/>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thin">
        <color indexed="64"/>
      </left>
      <right style="thin">
        <color indexed="64"/>
      </right>
      <top style="thin">
        <color indexed="64"/>
      </top>
      <bottom style="thin">
        <color indexed="64"/>
      </bottom>
      <diagonal/>
    </border>
  </borders>
  <cellStyleXfs count="2271">
    <xf numFmtId="0" fontId="0" fillId="0" borderId="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1" fillId="34" borderId="0" applyNumberFormat="0" applyBorder="0" applyAlignment="0" applyProtection="0"/>
    <xf numFmtId="0" fontId="22" fillId="10"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2" fillId="10"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1" fillId="35" borderId="0" applyNumberFormat="0" applyBorder="0" applyAlignment="0" applyProtection="0"/>
    <xf numFmtId="0" fontId="22" fillId="14"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2" fillId="14"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1" fillId="35" borderId="0" applyNumberFormat="0" applyBorder="0" applyAlignment="0" applyProtection="0"/>
    <xf numFmtId="0" fontId="22"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1" fillId="36" borderId="0" applyNumberFormat="0" applyBorder="0" applyAlignment="0" applyProtection="0"/>
    <xf numFmtId="0" fontId="22" fillId="18"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2" fillId="18"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1" fillId="36" borderId="0" applyNumberFormat="0" applyBorder="0" applyAlignment="0" applyProtection="0"/>
    <xf numFmtId="0" fontId="2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1" fillId="37" borderId="0" applyNumberFormat="0" applyBorder="0" applyAlignment="0" applyProtection="0"/>
    <xf numFmtId="0" fontId="22" fillId="22"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2" fillId="22"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2"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1" fillId="38" borderId="0" applyNumberFormat="0" applyBorder="0" applyAlignment="0" applyProtection="0"/>
    <xf numFmtId="0" fontId="22" fillId="26"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2" fillId="26"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2"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1" fillId="39" borderId="0" applyNumberFormat="0" applyBorder="0" applyAlignment="0" applyProtection="0"/>
    <xf numFmtId="0" fontId="22" fillId="30"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2" fillId="30"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1" fillId="39" borderId="0" applyNumberFormat="0" applyBorder="0" applyAlignment="0" applyProtection="0"/>
    <xf numFmtId="0" fontId="22"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1" fillId="40" borderId="0" applyNumberFormat="0" applyBorder="0" applyAlignment="0" applyProtection="0"/>
    <xf numFmtId="0" fontId="22" fillId="11"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2" fillId="11"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2"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1" fillId="41" borderId="0" applyNumberFormat="0" applyBorder="0" applyAlignment="0" applyProtection="0"/>
    <xf numFmtId="0" fontId="22" fillId="15"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2" fillId="15"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2"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1" fillId="42" borderId="0" applyNumberFormat="0" applyBorder="0" applyAlignment="0" applyProtection="0"/>
    <xf numFmtId="0" fontId="22" fillId="19"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2" fillId="19"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1" fillId="42" borderId="0" applyNumberFormat="0" applyBorder="0" applyAlignment="0" applyProtection="0"/>
    <xf numFmtId="0" fontId="22"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1" fillId="37" borderId="0" applyNumberFormat="0" applyBorder="0" applyAlignment="0" applyProtection="0"/>
    <xf numFmtId="0" fontId="22" fillId="23"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2" fillId="23"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1" fillId="37" borderId="0" applyNumberFormat="0" applyBorder="0" applyAlignment="0" applyProtection="0"/>
    <xf numFmtId="0" fontId="22"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1" fillId="40" borderId="0" applyNumberFormat="0" applyBorder="0" applyAlignment="0" applyProtection="0"/>
    <xf numFmtId="0" fontId="22" fillId="27"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2" fillId="27"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1" fillId="40" borderId="0" applyNumberFormat="0" applyBorder="0" applyAlignment="0" applyProtection="0"/>
    <xf numFmtId="0" fontId="22"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1" fillId="43" borderId="0" applyNumberFormat="0" applyBorder="0" applyAlignment="0" applyProtection="0"/>
    <xf numFmtId="0" fontId="22" fillId="31"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22" fillId="31"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22"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23" fillId="44" borderId="0" applyNumberFormat="0" applyBorder="0" applyAlignment="0" applyProtection="0"/>
    <xf numFmtId="0" fontId="17" fillId="12" borderId="0" applyNumberFormat="0" applyBorder="0" applyAlignment="0" applyProtection="0"/>
    <xf numFmtId="0" fontId="23" fillId="44" borderId="0" applyNumberFormat="0" applyBorder="0" applyAlignment="0" applyProtection="0"/>
    <xf numFmtId="0" fontId="23" fillId="44"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23" fillId="41" borderId="0" applyNumberFormat="0" applyBorder="0" applyAlignment="0" applyProtection="0"/>
    <xf numFmtId="0" fontId="17" fillId="16"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23" fillId="42" borderId="0" applyNumberFormat="0" applyBorder="0" applyAlignment="0" applyProtection="0"/>
    <xf numFmtId="0" fontId="17" fillId="20"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23" fillId="45" borderId="0" applyNumberFormat="0" applyBorder="0" applyAlignment="0" applyProtection="0"/>
    <xf numFmtId="0" fontId="17" fillId="24"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23" fillId="46" borderId="0" applyNumberFormat="0" applyBorder="0" applyAlignment="0" applyProtection="0"/>
    <xf numFmtId="0" fontId="17" fillId="28"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23" fillId="47" borderId="0" applyNumberFormat="0" applyBorder="0" applyAlignment="0" applyProtection="0"/>
    <xf numFmtId="0" fontId="17" fillId="32" borderId="0" applyNumberFormat="0" applyBorder="0" applyAlignment="0" applyProtection="0"/>
    <xf numFmtId="0" fontId="23" fillId="47" borderId="0" applyNumberFormat="0" applyBorder="0" applyAlignment="0" applyProtection="0"/>
    <xf numFmtId="0" fontId="23" fillId="47"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23" fillId="48" borderId="0" applyNumberFormat="0" applyBorder="0" applyAlignment="0" applyProtection="0"/>
    <xf numFmtId="0" fontId="17" fillId="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23" fillId="49" borderId="0" applyNumberFormat="0" applyBorder="0" applyAlignment="0" applyProtection="0"/>
    <xf numFmtId="0" fontId="17" fillId="13"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23" fillId="50" borderId="0" applyNumberFormat="0" applyBorder="0" applyAlignment="0" applyProtection="0"/>
    <xf numFmtId="0" fontId="17" fillId="17"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23" fillId="45" borderId="0" applyNumberFormat="0" applyBorder="0" applyAlignment="0" applyProtection="0"/>
    <xf numFmtId="0" fontId="17" fillId="21"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23" fillId="46" borderId="0" applyNumberFormat="0" applyBorder="0" applyAlignment="0" applyProtection="0"/>
    <xf numFmtId="0" fontId="17" fillId="25"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23" fillId="51" borderId="0" applyNumberFormat="0" applyBorder="0" applyAlignment="0" applyProtection="0"/>
    <xf numFmtId="0" fontId="17" fillId="29" borderId="0" applyNumberFormat="0" applyBorder="0" applyAlignment="0" applyProtection="0"/>
    <xf numFmtId="0" fontId="23" fillId="51" borderId="0" applyNumberFormat="0" applyBorder="0" applyAlignment="0" applyProtection="0"/>
    <xf numFmtId="0" fontId="23" fillId="51"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24" fillId="0" borderId="0" applyNumberFormat="0" applyFill="0" applyBorder="0" applyAlignment="0" applyProtection="0"/>
    <xf numFmtId="0" fontId="1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25" fillId="52" borderId="12" applyNumberFormat="0" applyAlignment="0" applyProtection="0"/>
    <xf numFmtId="0" fontId="11" fillId="6" borderId="4"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25" fillId="52" borderId="12"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26" fillId="0" borderId="13" applyNumberFormat="0" applyFill="0" applyAlignment="0" applyProtection="0"/>
    <xf numFmtId="0" fontId="12" fillId="0" borderId="6"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164" fontId="21" fillId="0" borderId="0" applyFont="0" applyFill="0" applyBorder="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7" fillId="53" borderId="14" applyNumberFormat="0" applyFont="0" applyAlignment="0" applyProtection="0"/>
    <xf numFmtId="0" fontId="22" fillId="8" borderId="8"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2" fillId="8" borderId="8"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7"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1" fillId="53" borderId="14"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0" fontId="21" fillId="8" borderId="8" applyNumberFormat="0" applyFont="0" applyAlignment="0" applyProtection="0"/>
    <xf numFmtId="165" fontId="28" fillId="0" borderId="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29" fillId="39" borderId="12" applyNumberFormat="0" applyAlignment="0" applyProtection="0"/>
    <xf numFmtId="0" fontId="9" fillId="5" borderId="4"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29" fillId="39" borderId="12"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166" fontId="30" fillId="0" borderId="0" applyFont="0" applyFill="0" applyBorder="0" applyAlignment="0" applyProtection="0"/>
    <xf numFmtId="0" fontId="30" fillId="0" borderId="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31" fillId="35" borderId="0" applyNumberFormat="0" applyBorder="0" applyAlignment="0" applyProtection="0"/>
    <xf numFmtId="0" fontId="7" fillId="3"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7"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9" fontId="21" fillId="0" borderId="0" applyFill="0" applyBorder="0" applyAlignment="0" applyProtection="0"/>
    <xf numFmtId="169" fontId="21" fillId="0" borderId="0" applyFill="0" applyBorder="0" applyAlignment="0" applyProtection="0"/>
    <xf numFmtId="169" fontId="21" fillId="0" borderId="0" applyFill="0" applyBorder="0" applyAlignment="0" applyProtection="0"/>
    <xf numFmtId="169" fontId="21" fillId="0" borderId="0" applyFill="0" applyBorder="0" applyAlignment="0" applyProtection="0"/>
    <xf numFmtId="169" fontId="21" fillId="0" borderId="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4" fontId="30" fillId="0" borderId="0" applyFont="0" applyFill="0" applyBorder="0" applyAlignment="0" applyProtection="0"/>
    <xf numFmtId="164" fontId="1" fillId="0" borderId="0" applyFont="0" applyFill="0" applyBorder="0" applyAlignment="0" applyProtection="0"/>
    <xf numFmtId="169" fontId="30" fillId="0" borderId="0" applyFont="0" applyFill="0" applyBorder="0" applyAlignment="0" applyProtection="0"/>
    <xf numFmtId="169" fontId="3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0" fontId="3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0" fillId="0" borderId="0" applyFont="0" applyFill="0" applyBorder="0" applyAlignment="0" applyProtection="0"/>
    <xf numFmtId="164" fontId="1" fillId="0" borderId="0" applyFont="0" applyFill="0" applyBorder="0" applyAlignment="0" applyProtection="0"/>
    <xf numFmtId="171" fontId="30" fillId="0" borderId="0" applyFont="0" applyFill="0" applyBorder="0" applyAlignment="0" applyProtection="0"/>
    <xf numFmtId="164" fontId="1" fillId="0" borderId="0" applyFont="0" applyFill="0" applyBorder="0" applyAlignment="0" applyProtection="0"/>
    <xf numFmtId="164" fontId="21" fillId="0" borderId="0" applyFont="0" applyFill="0" applyBorder="0" applyAlignment="0" applyProtection="0"/>
    <xf numFmtId="164" fontId="32" fillId="0" borderId="0" applyFont="0" applyFill="0" applyBorder="0" applyAlignment="0" applyProtection="0"/>
    <xf numFmtId="172" fontId="30" fillId="0" borderId="0" applyFont="0" applyFill="0" applyBorder="0" applyAlignment="0" applyProtection="0"/>
    <xf numFmtId="172" fontId="30" fillId="0" borderId="0" applyFon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33" fillId="54" borderId="0" applyNumberFormat="0" applyBorder="0" applyAlignment="0" applyProtection="0"/>
    <xf numFmtId="0" fontId="8" fillId="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7" fillId="55" borderId="0"/>
    <xf numFmtId="0" fontId="27" fillId="55" borderId="0"/>
    <xf numFmtId="0" fontId="27" fillId="55" borderId="0"/>
    <xf numFmtId="0" fontId="27" fillId="55" borderId="0"/>
    <xf numFmtId="0" fontId="27" fillId="55" borderId="0"/>
    <xf numFmtId="0" fontId="27" fillId="55" borderId="0"/>
    <xf numFmtId="0" fontId="30" fillId="0" borderId="0"/>
    <xf numFmtId="0" fontId="22" fillId="0" borderId="0"/>
    <xf numFmtId="0" fontId="30" fillId="0" borderId="0"/>
    <xf numFmtId="0" fontId="30" fillId="0" borderId="0"/>
    <xf numFmtId="0" fontId="30" fillId="0" borderId="0"/>
    <xf numFmtId="0" fontId="30" fillId="0" borderId="0"/>
    <xf numFmtId="0" fontId="30" fillId="0" borderId="0"/>
    <xf numFmtId="0" fontId="1" fillId="0" borderId="0"/>
    <xf numFmtId="0" fontId="22" fillId="0" borderId="0"/>
    <xf numFmtId="0" fontId="22" fillId="0" borderId="0"/>
    <xf numFmtId="0" fontId="22" fillId="0" borderId="0"/>
    <xf numFmtId="0" fontId="22" fillId="0" borderId="0"/>
    <xf numFmtId="0" fontId="22" fillId="0" borderId="0"/>
    <xf numFmtId="0" fontId="30"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0" fontId="21" fillId="0" borderId="0"/>
    <xf numFmtId="0" fontId="22" fillId="0" borderId="0"/>
    <xf numFmtId="0" fontId="22" fillId="0" borderId="0"/>
    <xf numFmtId="0" fontId="22" fillId="0" borderId="0"/>
    <xf numFmtId="0" fontId="22" fillId="0" borderId="0"/>
    <xf numFmtId="0" fontId="22" fillId="0" borderId="0"/>
    <xf numFmtId="0" fontId="30" fillId="0" borderId="0"/>
    <xf numFmtId="0" fontId="30" fillId="0" borderId="0"/>
    <xf numFmtId="0" fontId="30"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1" fillId="0" borderId="0"/>
    <xf numFmtId="0" fontId="34"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5" fillId="0" borderId="0"/>
    <xf numFmtId="0" fontId="21" fillId="0" borderId="0"/>
    <xf numFmtId="0" fontId="21" fillId="0" borderId="0"/>
    <xf numFmtId="0" fontId="2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7" fillId="55" borderId="0"/>
    <xf numFmtId="0" fontId="27" fillId="55"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7" fillId="55" borderId="0"/>
    <xf numFmtId="0" fontId="27" fillId="55" borderId="0"/>
    <xf numFmtId="0" fontId="27" fillId="55" borderId="0"/>
    <xf numFmtId="0" fontId="27" fillId="55"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0" fillId="0" borderId="0"/>
    <xf numFmtId="0"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9" fontId="36"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37" fillId="56" borderId="15" applyBorder="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38" fillId="36" borderId="0" applyNumberFormat="0" applyBorder="0" applyAlignment="0" applyProtection="0"/>
    <xf numFmtId="0" fontId="6" fillId="2" borderId="0" applyNumberFormat="0" applyBorder="0" applyAlignment="0" applyProtection="0"/>
    <xf numFmtId="0" fontId="38" fillId="36" borderId="0" applyNumberFormat="0" applyBorder="0" applyAlignment="0" applyProtection="0"/>
    <xf numFmtId="0" fontId="38" fillId="36"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39" fillId="52" borderId="16" applyNumberFormat="0" applyAlignment="0" applyProtection="0"/>
    <xf numFmtId="0" fontId="10" fillId="6" borderId="5"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39" fillId="52" borderId="16"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37" fillId="0" borderId="15" applyBorder="0" applyAlignment="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0" fillId="0" borderId="0" applyNumberFormat="0" applyFill="0" applyBorder="0" applyAlignment="0" applyProtection="0"/>
    <xf numFmtId="0" fontId="15"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2" fillId="0" borderId="17" applyNumberFormat="0" applyFill="0" applyAlignment="0" applyProtection="0"/>
    <xf numFmtId="0" fontId="3" fillId="0" borderId="1" applyNumberFormat="0" applyFill="0" applyAlignment="0" applyProtection="0"/>
    <xf numFmtId="0" fontId="42" fillId="0" borderId="17" applyNumberFormat="0" applyFill="0" applyAlignment="0" applyProtection="0"/>
    <xf numFmtId="0" fontId="42" fillId="0" borderId="17"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3" fillId="0" borderId="18" applyNumberFormat="0" applyFill="0" applyAlignment="0" applyProtection="0"/>
    <xf numFmtId="0" fontId="4" fillId="0" borderId="2" applyNumberFormat="0" applyFill="0" applyAlignment="0" applyProtection="0"/>
    <xf numFmtId="0" fontId="43" fillId="0" borderId="18" applyNumberFormat="0" applyFill="0" applyAlignment="0" applyProtection="0"/>
    <xf numFmtId="0" fontId="43" fillId="0" borderId="18"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44" fillId="0" borderId="19" applyNumberFormat="0" applyFill="0" applyAlignment="0" applyProtection="0"/>
    <xf numFmtId="0" fontId="5" fillId="0" borderId="3" applyNumberFormat="0" applyFill="0" applyAlignment="0" applyProtection="0"/>
    <xf numFmtId="0" fontId="44" fillId="0" borderId="19" applyNumberFormat="0" applyFill="0" applyAlignment="0" applyProtection="0"/>
    <xf numFmtId="0" fontId="44" fillId="0" borderId="19"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4" fillId="0" borderId="0" applyNumberFormat="0" applyFill="0" applyBorder="0" applyAlignment="0" applyProtection="0"/>
    <xf numFmtId="0" fontId="5"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45" fillId="0" borderId="20" applyNumberFormat="0" applyFill="0" applyAlignment="0" applyProtection="0"/>
    <xf numFmtId="0" fontId="16" fillId="0" borderId="9"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45" fillId="0" borderId="20"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46" fillId="57" borderId="21" applyNumberFormat="0" applyAlignment="0" applyProtection="0"/>
    <xf numFmtId="0" fontId="13" fillId="7" borderId="7" applyNumberFormat="0" applyAlignment="0" applyProtection="0"/>
    <xf numFmtId="0" fontId="46" fillId="57" borderId="21" applyNumberFormat="0" applyAlignment="0" applyProtection="0"/>
    <xf numFmtId="0" fontId="46" fillId="57" borderId="21"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9" fontId="1" fillId="0" borderId="0" applyFill="0" applyBorder="0" applyAlignment="0" applyProtection="0"/>
  </cellStyleXfs>
  <cellXfs count="124">
    <xf numFmtId="0" fontId="0" fillId="0" borderId="0" xfId="0"/>
    <xf numFmtId="0" fontId="54" fillId="62" borderId="43" xfId="0" applyFont="1" applyFill="1" applyBorder="1" applyAlignment="1">
      <alignment horizontal="center" vertical="center" wrapText="1" readingOrder="1"/>
    </xf>
    <xf numFmtId="0" fontId="59" fillId="0" borderId="0" xfId="0" applyFont="1" applyAlignment="1" applyProtection="1">
      <alignment horizontal="left" vertical="center" wrapText="1"/>
      <protection locked="0"/>
    </xf>
    <xf numFmtId="0" fontId="57" fillId="66" borderId="40" xfId="0" applyFont="1" applyFill="1" applyBorder="1" applyAlignment="1">
      <alignment horizontal="center" vertical="center" wrapText="1" readingOrder="1"/>
    </xf>
    <xf numFmtId="0" fontId="57" fillId="66" borderId="39" xfId="0" applyFont="1" applyFill="1" applyBorder="1" applyAlignment="1">
      <alignment horizontal="center" vertical="center" wrapText="1" readingOrder="1"/>
    </xf>
    <xf numFmtId="0" fontId="19" fillId="0" borderId="0" xfId="0" applyFont="1" applyAlignment="1" applyProtection="1">
      <alignment wrapText="1"/>
      <protection locked="0"/>
    </xf>
    <xf numFmtId="0" fontId="20" fillId="0" borderId="0" xfId="0" applyFont="1" applyAlignment="1" applyProtection="1">
      <alignment horizontal="left" vertical="center" wrapText="1"/>
      <protection locked="0"/>
    </xf>
    <xf numFmtId="0" fontId="20" fillId="0" borderId="0" xfId="0" applyFont="1" applyAlignment="1" applyProtection="1">
      <alignment vertical="center" wrapText="1"/>
      <protection locked="0"/>
    </xf>
    <xf numFmtId="0" fontId="20" fillId="0" borderId="0" xfId="0" applyFont="1" applyAlignment="1" applyProtection="1">
      <alignment horizontal="right" vertical="center" wrapText="1"/>
      <protection locked="0"/>
    </xf>
    <xf numFmtId="0" fontId="18" fillId="33" borderId="11" xfId="0" applyFont="1" applyFill="1" applyBorder="1" applyAlignment="1">
      <alignment wrapText="1"/>
    </xf>
    <xf numFmtId="0" fontId="0" fillId="0" borderId="0" xfId="0" pivotButton="1"/>
    <xf numFmtId="10" fontId="19" fillId="0" borderId="0" xfId="0" applyNumberFormat="1" applyFont="1"/>
    <xf numFmtId="0" fontId="19" fillId="0" borderId="24" xfId="0" applyFont="1" applyBorder="1"/>
    <xf numFmtId="0" fontId="19" fillId="0" borderId="25" xfId="0" applyFont="1" applyBorder="1"/>
    <xf numFmtId="10" fontId="19" fillId="0" borderId="26" xfId="0" applyNumberFormat="1" applyFont="1" applyBorder="1"/>
    <xf numFmtId="0" fontId="19" fillId="0" borderId="27" xfId="0" applyFont="1" applyBorder="1"/>
    <xf numFmtId="10" fontId="19" fillId="0" borderId="28" xfId="0" applyNumberFormat="1" applyFont="1" applyBorder="1"/>
    <xf numFmtId="0" fontId="19" fillId="0" borderId="28" xfId="0" applyFont="1" applyBorder="1"/>
    <xf numFmtId="10" fontId="19" fillId="0" borderId="30" xfId="0" applyNumberFormat="1" applyFont="1" applyBorder="1"/>
    <xf numFmtId="0" fontId="19" fillId="0" borderId="25" xfId="0" applyFont="1" applyBorder="1" applyAlignment="1">
      <alignment horizontal="left"/>
    </xf>
    <xf numFmtId="0" fontId="19" fillId="0" borderId="0" xfId="0" applyFont="1"/>
    <xf numFmtId="0" fontId="19" fillId="0" borderId="26" xfId="0" applyFont="1" applyBorder="1"/>
    <xf numFmtId="0" fontId="19" fillId="0" borderId="29" xfId="0" applyFont="1" applyBorder="1"/>
    <xf numFmtId="0" fontId="19" fillId="0" borderId="30" xfId="0" applyFont="1" applyBorder="1"/>
    <xf numFmtId="0" fontId="19" fillId="0" borderId="23" xfId="0" applyFont="1" applyBorder="1"/>
    <xf numFmtId="10" fontId="19" fillId="0" borderId="24" xfId="0" applyNumberFormat="1" applyFont="1" applyBorder="1"/>
    <xf numFmtId="0" fontId="19" fillId="0" borderId="31" xfId="0" applyFont="1" applyBorder="1"/>
    <xf numFmtId="0" fontId="19" fillId="0" borderId="32" xfId="0" applyFont="1" applyBorder="1"/>
    <xf numFmtId="0" fontId="19" fillId="0" borderId="33" xfId="0" applyFont="1" applyBorder="1"/>
    <xf numFmtId="0" fontId="19" fillId="0" borderId="29" xfId="0" pivotButton="1" applyFont="1" applyBorder="1"/>
    <xf numFmtId="0" fontId="19" fillId="0" borderId="23" xfId="0" applyFont="1" applyBorder="1" applyAlignment="1">
      <alignment horizontal="left"/>
    </xf>
    <xf numFmtId="0" fontId="19" fillId="0" borderId="27" xfId="0" applyFont="1" applyBorder="1" applyAlignment="1">
      <alignment horizontal="left"/>
    </xf>
    <xf numFmtId="0" fontId="19" fillId="0" borderId="29" xfId="0" applyFont="1" applyBorder="1" applyAlignment="1">
      <alignment horizontal="left"/>
    </xf>
    <xf numFmtId="0" fontId="19" fillId="0" borderId="34" xfId="0" applyFont="1" applyBorder="1"/>
    <xf numFmtId="0" fontId="50" fillId="59" borderId="35" xfId="0" applyFont="1" applyFill="1" applyBorder="1" applyAlignment="1">
      <alignment horizontal="center" vertical="top" wrapText="1"/>
    </xf>
    <xf numFmtId="0" fontId="50" fillId="59" borderId="36" xfId="0" applyFont="1" applyFill="1" applyBorder="1" applyAlignment="1">
      <alignment horizontal="center" vertical="top" wrapText="1"/>
    </xf>
    <xf numFmtId="0" fontId="47" fillId="60" borderId="35" xfId="0" applyFont="1" applyFill="1" applyBorder="1" applyAlignment="1">
      <alignment horizontal="center" vertical="top" wrapText="1"/>
    </xf>
    <xf numFmtId="0" fontId="47" fillId="60" borderId="36" xfId="0" applyFont="1" applyFill="1" applyBorder="1" applyAlignment="1">
      <alignment horizontal="center" vertical="top" wrapText="1"/>
    </xf>
    <xf numFmtId="0" fontId="47" fillId="61" borderId="35" xfId="0" applyFont="1" applyFill="1" applyBorder="1" applyAlignment="1">
      <alignment horizontal="center" vertical="top" wrapText="1"/>
    </xf>
    <xf numFmtId="0" fontId="47" fillId="61" borderId="36" xfId="0" applyFont="1" applyFill="1" applyBorder="1" applyAlignment="1">
      <alignment horizontal="center" vertical="top" wrapText="1"/>
    </xf>
    <xf numFmtId="0" fontId="51" fillId="0" borderId="0" xfId="0" applyFont="1"/>
    <xf numFmtId="0" fontId="53" fillId="0" borderId="0" xfId="0" applyFont="1" applyAlignment="1" applyProtection="1">
      <alignment vertical="center" wrapText="1"/>
      <protection locked="0"/>
    </xf>
    <xf numFmtId="0" fontId="53" fillId="0" borderId="0" xfId="0" applyFont="1" applyAlignment="1" applyProtection="1">
      <alignment horizontal="right" vertical="center" wrapText="1"/>
      <protection locked="0"/>
    </xf>
    <xf numFmtId="0" fontId="48" fillId="0" borderId="0" xfId="0" applyFont="1"/>
    <xf numFmtId="0" fontId="54" fillId="62" borderId="38" xfId="0" applyFont="1" applyFill="1" applyBorder="1" applyAlignment="1">
      <alignment horizontal="center" vertical="center" wrapText="1" readingOrder="1"/>
    </xf>
    <xf numFmtId="2" fontId="55" fillId="64" borderId="0" xfId="1" applyNumberFormat="1" applyFont="1" applyFill="1" applyBorder="1" applyAlignment="1" applyProtection="1">
      <alignment horizontal="right" vertical="center" wrapText="1"/>
    </xf>
    <xf numFmtId="0" fontId="56" fillId="65" borderId="0" xfId="0" applyFont="1" applyFill="1" applyAlignment="1">
      <alignment wrapText="1"/>
    </xf>
    <xf numFmtId="0" fontId="56" fillId="65" borderId="0" xfId="0" applyFont="1" applyFill="1"/>
    <xf numFmtId="0" fontId="58" fillId="0" borderId="0" xfId="0" applyFont="1"/>
    <xf numFmtId="14" fontId="52" fillId="0" borderId="0" xfId="0" applyNumberFormat="1" applyFont="1" applyAlignment="1" applyProtection="1">
      <alignment horizontal="left" vertical="center" wrapText="1"/>
      <protection locked="0"/>
    </xf>
    <xf numFmtId="0" fontId="60" fillId="63" borderId="38" xfId="0" applyFont="1" applyFill="1" applyBorder="1" applyAlignment="1">
      <alignment horizontal="left" vertical="center" wrapText="1" readingOrder="1"/>
    </xf>
    <xf numFmtId="0" fontId="60" fillId="63" borderId="38" xfId="0" applyFont="1" applyFill="1" applyBorder="1" applyAlignment="1">
      <alignment horizontal="justify" vertical="center" wrapText="1" readingOrder="1"/>
    </xf>
    <xf numFmtId="9" fontId="60" fillId="63" borderId="38" xfId="1" applyFont="1" applyFill="1" applyBorder="1" applyAlignment="1">
      <alignment horizontal="center" vertical="center" wrapText="1" readingOrder="1"/>
    </xf>
    <xf numFmtId="0" fontId="60" fillId="63" borderId="38" xfId="0" applyFont="1" applyFill="1" applyBorder="1" applyAlignment="1">
      <alignment horizontal="center" vertical="center" wrapText="1" readingOrder="1"/>
    </xf>
    <xf numFmtId="9" fontId="60" fillId="63" borderId="38" xfId="0" applyNumberFormat="1" applyFont="1" applyFill="1" applyBorder="1" applyAlignment="1">
      <alignment horizontal="center" vertical="center" wrapText="1" readingOrder="1"/>
    </xf>
    <xf numFmtId="0" fontId="64" fillId="0" borderId="0" xfId="0" applyFont="1" applyAlignment="1" applyProtection="1">
      <alignment wrapText="1"/>
      <protection locked="0"/>
    </xf>
    <xf numFmtId="0" fontId="65" fillId="0" borderId="0" xfId="0" applyFont="1" applyAlignment="1" applyProtection="1">
      <alignment horizontal="left" vertical="center" wrapText="1"/>
      <protection locked="0"/>
    </xf>
    <xf numFmtId="0" fontId="66" fillId="0" borderId="0" xfId="0" applyFont="1" applyAlignment="1" applyProtection="1">
      <alignment horizontal="center" vertical="center" wrapText="1" readingOrder="1"/>
      <protection locked="0"/>
    </xf>
    <xf numFmtId="0" fontId="66" fillId="0" borderId="0" xfId="0" applyFont="1" applyAlignment="1" applyProtection="1">
      <alignment horizontal="center" vertical="center" wrapText="1"/>
      <protection locked="0"/>
    </xf>
    <xf numFmtId="0" fontId="62" fillId="0" borderId="0" xfId="0" applyFont="1"/>
    <xf numFmtId="14" fontId="67" fillId="0" borderId="0" xfId="0" applyNumberFormat="1" applyFont="1" applyAlignment="1" applyProtection="1">
      <alignment horizontal="left" vertical="center" wrapText="1"/>
      <protection locked="0"/>
    </xf>
    <xf numFmtId="0" fontId="68" fillId="0" borderId="0" xfId="0" applyFont="1" applyAlignment="1" applyProtection="1">
      <alignment horizontal="center" vertical="center" wrapText="1" readingOrder="1"/>
      <protection locked="0"/>
    </xf>
    <xf numFmtId="14" fontId="68" fillId="0" borderId="0" xfId="0" applyNumberFormat="1" applyFont="1" applyAlignment="1" applyProtection="1">
      <alignment horizontal="left" vertical="center" wrapText="1"/>
      <protection locked="0"/>
    </xf>
    <xf numFmtId="0" fontId="68" fillId="0" borderId="0" xfId="0" applyFont="1" applyAlignment="1" applyProtection="1">
      <alignment horizontal="center" vertical="center" wrapText="1"/>
      <protection locked="0"/>
    </xf>
    <xf numFmtId="0" fontId="68" fillId="0" borderId="0" xfId="0" applyFont="1" applyAlignment="1" applyProtection="1">
      <alignment horizontal="left" vertical="center" wrapText="1"/>
      <protection locked="0"/>
    </xf>
    <xf numFmtId="9" fontId="61" fillId="64" borderId="38" xfId="1" applyFont="1" applyFill="1" applyBorder="1" applyAlignment="1">
      <alignment horizontal="center" vertical="center" wrapText="1" readingOrder="1"/>
    </xf>
    <xf numFmtId="0" fontId="69" fillId="65" borderId="0" xfId="0" applyFont="1" applyFill="1" applyAlignment="1" applyProtection="1">
      <alignment horizontal="left" vertical="center" wrapText="1"/>
      <protection locked="0"/>
    </xf>
    <xf numFmtId="0" fontId="64" fillId="65" borderId="0" xfId="0" applyFont="1" applyFill="1" applyAlignment="1" applyProtection="1">
      <alignment horizontal="left" vertical="center" wrapText="1"/>
      <protection locked="0"/>
    </xf>
    <xf numFmtId="0" fontId="63" fillId="62" borderId="38" xfId="0" applyFont="1" applyFill="1" applyBorder="1" applyAlignment="1">
      <alignment horizontal="center" vertical="center" wrapText="1" readingOrder="1"/>
    </xf>
    <xf numFmtId="0" fontId="64" fillId="0" borderId="0" xfId="0" applyFont="1" applyAlignment="1" applyProtection="1">
      <alignment horizontal="center" vertical="center" wrapText="1"/>
      <protection locked="0"/>
    </xf>
    <xf numFmtId="14" fontId="70" fillId="63" borderId="38" xfId="0" applyNumberFormat="1" applyFont="1" applyFill="1" applyBorder="1" applyAlignment="1">
      <alignment horizontal="center" vertical="center" wrapText="1" readingOrder="1"/>
    </xf>
    <xf numFmtId="0" fontId="70" fillId="63" borderId="38" xfId="0" applyFont="1" applyFill="1" applyBorder="1" applyAlignment="1">
      <alignment horizontal="justify" vertical="center" wrapText="1" readingOrder="1"/>
    </xf>
    <xf numFmtId="0" fontId="70" fillId="63" borderId="38" xfId="0" applyFont="1" applyFill="1" applyBorder="1" applyAlignment="1">
      <alignment horizontal="center" vertical="center" wrapText="1" readingOrder="1"/>
    </xf>
    <xf numFmtId="0" fontId="64" fillId="0" borderId="0" xfId="0" applyFont="1" applyProtection="1">
      <protection locked="0"/>
    </xf>
    <xf numFmtId="14" fontId="70" fillId="63" borderId="38" xfId="0" applyNumberFormat="1" applyFont="1" applyFill="1" applyBorder="1" applyAlignment="1">
      <alignment horizontal="justify" vertical="center" wrapText="1" readingOrder="1"/>
    </xf>
    <xf numFmtId="0" fontId="64" fillId="0" borderId="0" xfId="0" applyFont="1" applyAlignment="1" applyProtection="1">
      <alignment horizontal="center" vertical="center" readingOrder="1"/>
      <protection locked="0"/>
    </xf>
    <xf numFmtId="14" fontId="64" fillId="0" borderId="0" xfId="0" applyNumberFormat="1" applyFont="1" applyProtection="1">
      <protection locked="0"/>
    </xf>
    <xf numFmtId="0" fontId="64" fillId="0" borderId="0" xfId="0" applyFont="1" applyAlignment="1" applyProtection="1">
      <alignment horizontal="center" readingOrder="1"/>
      <protection locked="0"/>
    </xf>
    <xf numFmtId="14" fontId="64" fillId="0" borderId="0" xfId="0" applyNumberFormat="1" applyFont="1" applyAlignment="1" applyProtection="1">
      <alignment horizontal="center"/>
      <protection locked="0"/>
    </xf>
    <xf numFmtId="0" fontId="64" fillId="0" borderId="0" xfId="0" applyFont="1" applyAlignment="1" applyProtection="1">
      <alignment horizontal="center"/>
      <protection locked="0"/>
    </xf>
    <xf numFmtId="0" fontId="64" fillId="0" borderId="0" xfId="0" applyFont="1" applyAlignment="1" applyProtection="1">
      <alignment horizontal="left"/>
      <protection locked="0"/>
    </xf>
    <xf numFmtId="1" fontId="60" fillId="63" borderId="38" xfId="0" applyNumberFormat="1" applyFont="1" applyFill="1" applyBorder="1" applyAlignment="1">
      <alignment horizontal="center" vertical="center" wrapText="1" readingOrder="1"/>
    </xf>
    <xf numFmtId="0" fontId="52" fillId="0" borderId="0" xfId="0" applyFont="1" applyAlignment="1" applyProtection="1">
      <alignment horizontal="left" vertical="center" wrapText="1"/>
      <protection locked="0"/>
    </xf>
    <xf numFmtId="9" fontId="60" fillId="63" borderId="38" xfId="1" applyFont="1" applyFill="1" applyBorder="1" applyAlignment="1" applyProtection="1">
      <alignment horizontal="center" vertical="center" wrapText="1" readingOrder="1"/>
    </xf>
    <xf numFmtId="0" fontId="71" fillId="0" borderId="0" xfId="0" applyFont="1"/>
    <xf numFmtId="0" fontId="49" fillId="58" borderId="0" xfId="0" applyFont="1" applyFill="1" applyAlignment="1">
      <alignment horizontal="center" wrapText="1"/>
    </xf>
    <xf numFmtId="9" fontId="55" fillId="64" borderId="0" xfId="1" applyFont="1" applyFill="1" applyBorder="1" applyAlignment="1" applyProtection="1">
      <alignment horizontal="right" vertical="center" wrapText="1"/>
    </xf>
    <xf numFmtId="0" fontId="60" fillId="63" borderId="42" xfId="0" applyFont="1" applyFill="1" applyBorder="1" applyAlignment="1">
      <alignment horizontal="left" vertical="center" wrapText="1" readingOrder="1"/>
    </xf>
    <xf numFmtId="0" fontId="60" fillId="63" borderId="42" xfId="0" applyFont="1" applyFill="1" applyBorder="1" applyAlignment="1">
      <alignment horizontal="center" vertical="center" wrapText="1" readingOrder="1"/>
    </xf>
    <xf numFmtId="0" fontId="60" fillId="63" borderId="38" xfId="0" quotePrefix="1" applyFont="1" applyFill="1" applyBorder="1" applyAlignment="1">
      <alignment horizontal="left" vertical="center" wrapText="1" readingOrder="1"/>
    </xf>
    <xf numFmtId="0" fontId="59" fillId="0" borderId="0" xfId="0" applyFont="1" applyAlignment="1" applyProtection="1">
      <alignment vertical="center" wrapText="1"/>
      <protection locked="0"/>
    </xf>
    <xf numFmtId="10" fontId="60" fillId="63" borderId="38" xfId="0" applyNumberFormat="1" applyFont="1" applyFill="1" applyBorder="1" applyAlignment="1">
      <alignment horizontal="center" vertical="center" wrapText="1" readingOrder="1"/>
    </xf>
    <xf numFmtId="0" fontId="73" fillId="63" borderId="38" xfId="0" applyFont="1" applyFill="1" applyBorder="1" applyAlignment="1">
      <alignment horizontal="left" vertical="center" wrapText="1" readingOrder="1"/>
    </xf>
    <xf numFmtId="9" fontId="55" fillId="65" borderId="41" xfId="1" applyFont="1" applyFill="1" applyBorder="1" applyAlignment="1" applyProtection="1">
      <alignment vertical="center" wrapText="1"/>
    </xf>
    <xf numFmtId="9" fontId="72" fillId="65" borderId="41" xfId="1" applyFont="1" applyFill="1" applyBorder="1" applyAlignment="1" applyProtection="1">
      <alignment vertical="center" wrapText="1"/>
    </xf>
    <xf numFmtId="0" fontId="60" fillId="0" borderId="35" xfId="0" applyFont="1" applyBorder="1" applyAlignment="1">
      <alignment horizontal="justify" vertical="center" wrapText="1" readingOrder="1"/>
    </xf>
    <xf numFmtId="0" fontId="60" fillId="0" borderId="35" xfId="0" applyFont="1" applyBorder="1" applyAlignment="1">
      <alignment horizontal="left" vertical="center" wrapText="1" readingOrder="1"/>
    </xf>
    <xf numFmtId="0" fontId="60" fillId="0" borderId="35" xfId="0" applyFont="1" applyBorder="1" applyAlignment="1">
      <alignment horizontal="center" vertical="center" wrapText="1" readingOrder="1"/>
    </xf>
    <xf numFmtId="9" fontId="60" fillId="0" borderId="35" xfId="0" applyNumberFormat="1" applyFont="1" applyBorder="1" applyAlignment="1">
      <alignment horizontal="center" vertical="center" wrapText="1" readingOrder="1"/>
    </xf>
    <xf numFmtId="0" fontId="60" fillId="0" borderId="45" xfId="0" applyFont="1" applyBorder="1" applyAlignment="1">
      <alignment horizontal="center" vertical="center" wrapText="1" readingOrder="1"/>
    </xf>
    <xf numFmtId="0" fontId="60" fillId="0" borderId="45" xfId="0" applyFont="1" applyBorder="1" applyAlignment="1">
      <alignment horizontal="left" vertical="center" wrapText="1" readingOrder="1"/>
    </xf>
    <xf numFmtId="9" fontId="60" fillId="0" borderId="45" xfId="1" applyFont="1" applyFill="1" applyBorder="1" applyAlignment="1">
      <alignment horizontal="center" vertical="center" wrapText="1" readingOrder="1"/>
    </xf>
    <xf numFmtId="9" fontId="60" fillId="0" borderId="45" xfId="0" applyNumberFormat="1" applyFont="1" applyBorder="1" applyAlignment="1">
      <alignment horizontal="center" vertical="center" wrapText="1" readingOrder="1"/>
    </xf>
    <xf numFmtId="9" fontId="60" fillId="0" borderId="45" xfId="1" applyFont="1" applyFill="1" applyBorder="1" applyAlignment="1" applyProtection="1">
      <alignment horizontal="center" vertical="center" wrapText="1" readingOrder="1"/>
    </xf>
    <xf numFmtId="0" fontId="60" fillId="0" borderId="45" xfId="1" applyNumberFormat="1" applyFont="1" applyFill="1" applyBorder="1" applyAlignment="1">
      <alignment horizontal="center" vertical="center" wrapText="1" readingOrder="1"/>
    </xf>
    <xf numFmtId="0" fontId="60" fillId="0" borderId="45" xfId="0" applyFont="1" applyBorder="1" applyAlignment="1">
      <alignment horizontal="justify" vertical="center" wrapText="1" readingOrder="1"/>
    </xf>
    <xf numFmtId="10" fontId="60" fillId="0" borderId="45" xfId="0" applyNumberFormat="1" applyFont="1" applyBorder="1" applyAlignment="1">
      <alignment horizontal="center" vertical="center" wrapText="1" readingOrder="1"/>
    </xf>
    <xf numFmtId="0" fontId="54" fillId="66" borderId="45" xfId="0" applyFont="1" applyFill="1" applyBorder="1" applyAlignment="1">
      <alignment horizontal="center" vertical="center" wrapText="1" readingOrder="1"/>
    </xf>
    <xf numFmtId="0" fontId="54" fillId="62" borderId="44" xfId="0" applyFont="1" applyFill="1" applyBorder="1" applyAlignment="1">
      <alignment horizontal="center" vertical="center" wrapText="1" readingOrder="1"/>
    </xf>
    <xf numFmtId="0" fontId="57" fillId="62" borderId="39" xfId="0" applyFont="1" applyFill="1" applyBorder="1" applyAlignment="1">
      <alignment horizontal="center" vertical="center" wrapText="1" readingOrder="1"/>
    </xf>
    <xf numFmtId="0" fontId="57" fillId="62" borderId="40" xfId="0" applyFont="1" applyFill="1" applyBorder="1" applyAlignment="1">
      <alignment horizontal="center" vertical="center" wrapText="1" readingOrder="1"/>
    </xf>
    <xf numFmtId="9" fontId="55" fillId="65" borderId="41" xfId="1" applyFont="1" applyFill="1" applyBorder="1" applyAlignment="1" applyProtection="1">
      <alignment horizontal="right" vertical="center" wrapText="1"/>
    </xf>
    <xf numFmtId="0" fontId="49" fillId="58" borderId="37" xfId="0" applyFont="1" applyFill="1" applyBorder="1" applyAlignment="1">
      <alignment horizontal="center" wrapText="1"/>
    </xf>
    <xf numFmtId="0" fontId="49" fillId="58" borderId="0" xfId="0" applyFont="1" applyFill="1" applyAlignment="1">
      <alignment horizontal="center" wrapText="1"/>
    </xf>
    <xf numFmtId="0" fontId="63" fillId="62" borderId="39" xfId="0" applyFont="1" applyFill="1" applyBorder="1" applyAlignment="1">
      <alignment horizontal="center" vertical="center" wrapText="1" readingOrder="1"/>
    </xf>
    <xf numFmtId="0" fontId="63" fillId="62" borderId="40" xfId="0" applyFont="1" applyFill="1" applyBorder="1" applyAlignment="1">
      <alignment horizontal="center" vertical="center" wrapText="1" readingOrder="1"/>
    </xf>
    <xf numFmtId="9" fontId="61" fillId="65" borderId="41" xfId="1" applyFont="1" applyFill="1" applyBorder="1" applyAlignment="1" applyProtection="1">
      <alignment horizontal="right" vertical="center" wrapText="1"/>
    </xf>
    <xf numFmtId="9" fontId="61" fillId="65" borderId="36" xfId="1" applyFont="1" applyFill="1" applyBorder="1" applyAlignment="1" applyProtection="1">
      <alignment horizontal="right" vertical="center" wrapText="1"/>
    </xf>
    <xf numFmtId="0" fontId="65" fillId="0" borderId="0" xfId="0" applyFont="1" applyAlignment="1" applyProtection="1">
      <alignment horizontal="left" vertical="center" wrapText="1"/>
      <protection locked="0"/>
    </xf>
    <xf numFmtId="0" fontId="18" fillId="33" borderId="10" xfId="0" applyFont="1" applyFill="1" applyBorder="1" applyAlignment="1">
      <alignment horizontal="center" wrapText="1"/>
    </xf>
    <xf numFmtId="0" fontId="18" fillId="33" borderId="11" xfId="0" applyFont="1" applyFill="1" applyBorder="1" applyAlignment="1">
      <alignment horizontal="center" wrapText="1"/>
    </xf>
    <xf numFmtId="0" fontId="20" fillId="0" borderId="22" xfId="0" applyFont="1" applyBorder="1" applyAlignment="1" applyProtection="1">
      <alignment horizontal="left" vertical="center" wrapText="1"/>
      <protection locked="0"/>
    </xf>
    <xf numFmtId="0" fontId="20" fillId="0" borderId="0" xfId="0" applyFont="1" applyAlignment="1" applyProtection="1">
      <alignment horizontal="left" vertical="center" wrapText="1"/>
      <protection locked="0"/>
    </xf>
    <xf numFmtId="14" fontId="20" fillId="0" borderId="0" xfId="0" applyNumberFormat="1" applyFont="1" applyAlignment="1" applyProtection="1">
      <alignment horizontal="left" vertical="center" wrapText="1"/>
      <protection locked="0"/>
    </xf>
  </cellXfs>
  <cellStyles count="2271">
    <cellStyle name="20 % - Accent1 10" xfId="2" xr:uid="{00000000-0005-0000-0000-000000000000}"/>
    <cellStyle name="20 % - Accent1 10 2" xfId="3" xr:uid="{00000000-0005-0000-0000-000001000000}"/>
    <cellStyle name="20 % - Accent1 11" xfId="4" xr:uid="{00000000-0005-0000-0000-000002000000}"/>
    <cellStyle name="20 % - Accent1 11 2" xfId="5" xr:uid="{00000000-0005-0000-0000-000003000000}"/>
    <cellStyle name="20 % - Accent1 12" xfId="6" xr:uid="{00000000-0005-0000-0000-000004000000}"/>
    <cellStyle name="20 % - Accent1 12 2" xfId="7" xr:uid="{00000000-0005-0000-0000-000005000000}"/>
    <cellStyle name="20 % - Accent1 13" xfId="8" xr:uid="{00000000-0005-0000-0000-000006000000}"/>
    <cellStyle name="20 % - Accent1 2" xfId="9" xr:uid="{00000000-0005-0000-0000-000007000000}"/>
    <cellStyle name="20 % - Accent1 2 10" xfId="10" xr:uid="{00000000-0005-0000-0000-000008000000}"/>
    <cellStyle name="20 % - Accent1 2 11" xfId="11" xr:uid="{00000000-0005-0000-0000-000009000000}"/>
    <cellStyle name="20 % - Accent1 2 2" xfId="12" xr:uid="{00000000-0005-0000-0000-00000A000000}"/>
    <cellStyle name="20 % - Accent1 2 3" xfId="13" xr:uid="{00000000-0005-0000-0000-00000B000000}"/>
    <cellStyle name="20 % - Accent1 2 4" xfId="14" xr:uid="{00000000-0005-0000-0000-00000C000000}"/>
    <cellStyle name="20 % - Accent1 2 5" xfId="15" xr:uid="{00000000-0005-0000-0000-00000D000000}"/>
    <cellStyle name="20 % - Accent1 2 6" xfId="16" xr:uid="{00000000-0005-0000-0000-00000E000000}"/>
    <cellStyle name="20 % - Accent1 2 7" xfId="17" xr:uid="{00000000-0005-0000-0000-00000F000000}"/>
    <cellStyle name="20 % - Accent1 2 8" xfId="18" xr:uid="{00000000-0005-0000-0000-000010000000}"/>
    <cellStyle name="20 % - Accent1 2 9" xfId="19" xr:uid="{00000000-0005-0000-0000-000011000000}"/>
    <cellStyle name="20 % - Accent1 3" xfId="20" xr:uid="{00000000-0005-0000-0000-000012000000}"/>
    <cellStyle name="20 % - Accent1 3 2" xfId="21" xr:uid="{00000000-0005-0000-0000-000013000000}"/>
    <cellStyle name="20 % - Accent1 4" xfId="22" xr:uid="{00000000-0005-0000-0000-000014000000}"/>
    <cellStyle name="20 % - Accent1 4 2" xfId="23" xr:uid="{00000000-0005-0000-0000-000015000000}"/>
    <cellStyle name="20 % - Accent1 5" xfId="24" xr:uid="{00000000-0005-0000-0000-000016000000}"/>
    <cellStyle name="20 % - Accent1 5 2" xfId="25" xr:uid="{00000000-0005-0000-0000-000017000000}"/>
    <cellStyle name="20 % - Accent1 6" xfId="26" xr:uid="{00000000-0005-0000-0000-000018000000}"/>
    <cellStyle name="20 % - Accent1 6 2" xfId="27" xr:uid="{00000000-0005-0000-0000-000019000000}"/>
    <cellStyle name="20 % - Accent1 7" xfId="28" xr:uid="{00000000-0005-0000-0000-00001A000000}"/>
    <cellStyle name="20 % - Accent1 7 2" xfId="29" xr:uid="{00000000-0005-0000-0000-00001B000000}"/>
    <cellStyle name="20 % - Accent1 8" xfId="30" xr:uid="{00000000-0005-0000-0000-00001C000000}"/>
    <cellStyle name="20 % - Accent1 8 2" xfId="31" xr:uid="{00000000-0005-0000-0000-00001D000000}"/>
    <cellStyle name="20 % - Accent1 9" xfId="32" xr:uid="{00000000-0005-0000-0000-00001E000000}"/>
    <cellStyle name="20 % - Accent1 9 2" xfId="33" xr:uid="{00000000-0005-0000-0000-00001F000000}"/>
    <cellStyle name="20 % - Accent2 10" xfId="34" xr:uid="{00000000-0005-0000-0000-000020000000}"/>
    <cellStyle name="20 % - Accent2 10 2" xfId="35" xr:uid="{00000000-0005-0000-0000-000021000000}"/>
    <cellStyle name="20 % - Accent2 11" xfId="36" xr:uid="{00000000-0005-0000-0000-000022000000}"/>
    <cellStyle name="20 % - Accent2 11 2" xfId="37" xr:uid="{00000000-0005-0000-0000-000023000000}"/>
    <cellStyle name="20 % - Accent2 12" xfId="38" xr:uid="{00000000-0005-0000-0000-000024000000}"/>
    <cellStyle name="20 % - Accent2 12 2" xfId="39" xr:uid="{00000000-0005-0000-0000-000025000000}"/>
    <cellStyle name="20 % - Accent2 13" xfId="40" xr:uid="{00000000-0005-0000-0000-000026000000}"/>
    <cellStyle name="20 % - Accent2 2" xfId="41" xr:uid="{00000000-0005-0000-0000-000027000000}"/>
    <cellStyle name="20 % - Accent2 2 10" xfId="42" xr:uid="{00000000-0005-0000-0000-000028000000}"/>
    <cellStyle name="20 % - Accent2 2 11" xfId="43" xr:uid="{00000000-0005-0000-0000-000029000000}"/>
    <cellStyle name="20 % - Accent2 2 2" xfId="44" xr:uid="{00000000-0005-0000-0000-00002A000000}"/>
    <cellStyle name="20 % - Accent2 2 3" xfId="45" xr:uid="{00000000-0005-0000-0000-00002B000000}"/>
    <cellStyle name="20 % - Accent2 2 4" xfId="46" xr:uid="{00000000-0005-0000-0000-00002C000000}"/>
    <cellStyle name="20 % - Accent2 2 5" xfId="47" xr:uid="{00000000-0005-0000-0000-00002D000000}"/>
    <cellStyle name="20 % - Accent2 2 6" xfId="48" xr:uid="{00000000-0005-0000-0000-00002E000000}"/>
    <cellStyle name="20 % - Accent2 2 7" xfId="49" xr:uid="{00000000-0005-0000-0000-00002F000000}"/>
    <cellStyle name="20 % - Accent2 2 8" xfId="50" xr:uid="{00000000-0005-0000-0000-000030000000}"/>
    <cellStyle name="20 % - Accent2 2 9" xfId="51" xr:uid="{00000000-0005-0000-0000-000031000000}"/>
    <cellStyle name="20 % - Accent2 3" xfId="52" xr:uid="{00000000-0005-0000-0000-000032000000}"/>
    <cellStyle name="20 % - Accent2 3 2" xfId="53" xr:uid="{00000000-0005-0000-0000-000033000000}"/>
    <cellStyle name="20 % - Accent2 4" xfId="54" xr:uid="{00000000-0005-0000-0000-000034000000}"/>
    <cellStyle name="20 % - Accent2 4 2" xfId="55" xr:uid="{00000000-0005-0000-0000-000035000000}"/>
    <cellStyle name="20 % - Accent2 5" xfId="56" xr:uid="{00000000-0005-0000-0000-000036000000}"/>
    <cellStyle name="20 % - Accent2 5 2" xfId="57" xr:uid="{00000000-0005-0000-0000-000037000000}"/>
    <cellStyle name="20 % - Accent2 6" xfId="58" xr:uid="{00000000-0005-0000-0000-000038000000}"/>
    <cellStyle name="20 % - Accent2 6 2" xfId="59" xr:uid="{00000000-0005-0000-0000-000039000000}"/>
    <cellStyle name="20 % - Accent2 7" xfId="60" xr:uid="{00000000-0005-0000-0000-00003A000000}"/>
    <cellStyle name="20 % - Accent2 7 2" xfId="61" xr:uid="{00000000-0005-0000-0000-00003B000000}"/>
    <cellStyle name="20 % - Accent2 8" xfId="62" xr:uid="{00000000-0005-0000-0000-00003C000000}"/>
    <cellStyle name="20 % - Accent2 8 2" xfId="63" xr:uid="{00000000-0005-0000-0000-00003D000000}"/>
    <cellStyle name="20 % - Accent2 9" xfId="64" xr:uid="{00000000-0005-0000-0000-00003E000000}"/>
    <cellStyle name="20 % - Accent2 9 2" xfId="65" xr:uid="{00000000-0005-0000-0000-00003F000000}"/>
    <cellStyle name="20 % - Accent3 10" xfId="66" xr:uid="{00000000-0005-0000-0000-000040000000}"/>
    <cellStyle name="20 % - Accent3 10 2" xfId="67" xr:uid="{00000000-0005-0000-0000-000041000000}"/>
    <cellStyle name="20 % - Accent3 11" xfId="68" xr:uid="{00000000-0005-0000-0000-000042000000}"/>
    <cellStyle name="20 % - Accent3 11 2" xfId="69" xr:uid="{00000000-0005-0000-0000-000043000000}"/>
    <cellStyle name="20 % - Accent3 12" xfId="70" xr:uid="{00000000-0005-0000-0000-000044000000}"/>
    <cellStyle name="20 % - Accent3 12 2" xfId="71" xr:uid="{00000000-0005-0000-0000-000045000000}"/>
    <cellStyle name="20 % - Accent3 13" xfId="72" xr:uid="{00000000-0005-0000-0000-000046000000}"/>
    <cellStyle name="20 % - Accent3 2" xfId="73" xr:uid="{00000000-0005-0000-0000-000047000000}"/>
    <cellStyle name="20 % - Accent3 2 10" xfId="74" xr:uid="{00000000-0005-0000-0000-000048000000}"/>
    <cellStyle name="20 % - Accent3 2 11" xfId="75" xr:uid="{00000000-0005-0000-0000-000049000000}"/>
    <cellStyle name="20 % - Accent3 2 2" xfId="76" xr:uid="{00000000-0005-0000-0000-00004A000000}"/>
    <cellStyle name="20 % - Accent3 2 3" xfId="77" xr:uid="{00000000-0005-0000-0000-00004B000000}"/>
    <cellStyle name="20 % - Accent3 2 4" xfId="78" xr:uid="{00000000-0005-0000-0000-00004C000000}"/>
    <cellStyle name="20 % - Accent3 2 5" xfId="79" xr:uid="{00000000-0005-0000-0000-00004D000000}"/>
    <cellStyle name="20 % - Accent3 2 6" xfId="80" xr:uid="{00000000-0005-0000-0000-00004E000000}"/>
    <cellStyle name="20 % - Accent3 2 7" xfId="81" xr:uid="{00000000-0005-0000-0000-00004F000000}"/>
    <cellStyle name="20 % - Accent3 2 8" xfId="82" xr:uid="{00000000-0005-0000-0000-000050000000}"/>
    <cellStyle name="20 % - Accent3 2 9" xfId="83" xr:uid="{00000000-0005-0000-0000-000051000000}"/>
    <cellStyle name="20 % - Accent3 3" xfId="84" xr:uid="{00000000-0005-0000-0000-000052000000}"/>
    <cellStyle name="20 % - Accent3 3 2" xfId="85" xr:uid="{00000000-0005-0000-0000-000053000000}"/>
    <cellStyle name="20 % - Accent3 4" xfId="86" xr:uid="{00000000-0005-0000-0000-000054000000}"/>
    <cellStyle name="20 % - Accent3 4 2" xfId="87" xr:uid="{00000000-0005-0000-0000-000055000000}"/>
    <cellStyle name="20 % - Accent3 5" xfId="88" xr:uid="{00000000-0005-0000-0000-000056000000}"/>
    <cellStyle name="20 % - Accent3 5 2" xfId="89" xr:uid="{00000000-0005-0000-0000-000057000000}"/>
    <cellStyle name="20 % - Accent3 6" xfId="90" xr:uid="{00000000-0005-0000-0000-000058000000}"/>
    <cellStyle name="20 % - Accent3 6 2" xfId="91" xr:uid="{00000000-0005-0000-0000-000059000000}"/>
    <cellStyle name="20 % - Accent3 7" xfId="92" xr:uid="{00000000-0005-0000-0000-00005A000000}"/>
    <cellStyle name="20 % - Accent3 7 2" xfId="93" xr:uid="{00000000-0005-0000-0000-00005B000000}"/>
    <cellStyle name="20 % - Accent3 8" xfId="94" xr:uid="{00000000-0005-0000-0000-00005C000000}"/>
    <cellStyle name="20 % - Accent3 8 2" xfId="95" xr:uid="{00000000-0005-0000-0000-00005D000000}"/>
    <cellStyle name="20 % - Accent3 9" xfId="96" xr:uid="{00000000-0005-0000-0000-00005E000000}"/>
    <cellStyle name="20 % - Accent3 9 2" xfId="97" xr:uid="{00000000-0005-0000-0000-00005F000000}"/>
    <cellStyle name="20 % - Accent4 10" xfId="98" xr:uid="{00000000-0005-0000-0000-000060000000}"/>
    <cellStyle name="20 % - Accent4 10 2" xfId="99" xr:uid="{00000000-0005-0000-0000-000061000000}"/>
    <cellStyle name="20 % - Accent4 11" xfId="100" xr:uid="{00000000-0005-0000-0000-000062000000}"/>
    <cellStyle name="20 % - Accent4 11 2" xfId="101" xr:uid="{00000000-0005-0000-0000-000063000000}"/>
    <cellStyle name="20 % - Accent4 12" xfId="102" xr:uid="{00000000-0005-0000-0000-000064000000}"/>
    <cellStyle name="20 % - Accent4 12 2" xfId="103" xr:uid="{00000000-0005-0000-0000-000065000000}"/>
    <cellStyle name="20 % - Accent4 13" xfId="104" xr:uid="{00000000-0005-0000-0000-000066000000}"/>
    <cellStyle name="20 % - Accent4 2" xfId="105" xr:uid="{00000000-0005-0000-0000-000067000000}"/>
    <cellStyle name="20 % - Accent4 2 10" xfId="106" xr:uid="{00000000-0005-0000-0000-000068000000}"/>
    <cellStyle name="20 % - Accent4 2 11" xfId="107" xr:uid="{00000000-0005-0000-0000-000069000000}"/>
    <cellStyle name="20 % - Accent4 2 2" xfId="108" xr:uid="{00000000-0005-0000-0000-00006A000000}"/>
    <cellStyle name="20 % - Accent4 2 3" xfId="109" xr:uid="{00000000-0005-0000-0000-00006B000000}"/>
    <cellStyle name="20 % - Accent4 2 4" xfId="110" xr:uid="{00000000-0005-0000-0000-00006C000000}"/>
    <cellStyle name="20 % - Accent4 2 5" xfId="111" xr:uid="{00000000-0005-0000-0000-00006D000000}"/>
    <cellStyle name="20 % - Accent4 2 6" xfId="112" xr:uid="{00000000-0005-0000-0000-00006E000000}"/>
    <cellStyle name="20 % - Accent4 2 7" xfId="113" xr:uid="{00000000-0005-0000-0000-00006F000000}"/>
    <cellStyle name="20 % - Accent4 2 8" xfId="114" xr:uid="{00000000-0005-0000-0000-000070000000}"/>
    <cellStyle name="20 % - Accent4 2 9" xfId="115" xr:uid="{00000000-0005-0000-0000-000071000000}"/>
    <cellStyle name="20 % - Accent4 3" xfId="116" xr:uid="{00000000-0005-0000-0000-000072000000}"/>
    <cellStyle name="20 % - Accent4 3 2" xfId="117" xr:uid="{00000000-0005-0000-0000-000073000000}"/>
    <cellStyle name="20 % - Accent4 4" xfId="118" xr:uid="{00000000-0005-0000-0000-000074000000}"/>
    <cellStyle name="20 % - Accent4 4 2" xfId="119" xr:uid="{00000000-0005-0000-0000-000075000000}"/>
    <cellStyle name="20 % - Accent4 5" xfId="120" xr:uid="{00000000-0005-0000-0000-000076000000}"/>
    <cellStyle name="20 % - Accent4 5 2" xfId="121" xr:uid="{00000000-0005-0000-0000-000077000000}"/>
    <cellStyle name="20 % - Accent4 6" xfId="122" xr:uid="{00000000-0005-0000-0000-000078000000}"/>
    <cellStyle name="20 % - Accent4 6 2" xfId="123" xr:uid="{00000000-0005-0000-0000-000079000000}"/>
    <cellStyle name="20 % - Accent4 7" xfId="124" xr:uid="{00000000-0005-0000-0000-00007A000000}"/>
    <cellStyle name="20 % - Accent4 7 2" xfId="125" xr:uid="{00000000-0005-0000-0000-00007B000000}"/>
    <cellStyle name="20 % - Accent4 8" xfId="126" xr:uid="{00000000-0005-0000-0000-00007C000000}"/>
    <cellStyle name="20 % - Accent4 8 2" xfId="127" xr:uid="{00000000-0005-0000-0000-00007D000000}"/>
    <cellStyle name="20 % - Accent4 9" xfId="128" xr:uid="{00000000-0005-0000-0000-00007E000000}"/>
    <cellStyle name="20 % - Accent4 9 2" xfId="129" xr:uid="{00000000-0005-0000-0000-00007F000000}"/>
    <cellStyle name="20 % - Accent5 10" xfId="130" xr:uid="{00000000-0005-0000-0000-000080000000}"/>
    <cellStyle name="20 % - Accent5 10 2" xfId="131" xr:uid="{00000000-0005-0000-0000-000081000000}"/>
    <cellStyle name="20 % - Accent5 11" xfId="132" xr:uid="{00000000-0005-0000-0000-000082000000}"/>
    <cellStyle name="20 % - Accent5 11 2" xfId="133" xr:uid="{00000000-0005-0000-0000-000083000000}"/>
    <cellStyle name="20 % - Accent5 12" xfId="134" xr:uid="{00000000-0005-0000-0000-000084000000}"/>
    <cellStyle name="20 % - Accent5 12 2" xfId="135" xr:uid="{00000000-0005-0000-0000-000085000000}"/>
    <cellStyle name="20 % - Accent5 13" xfId="136" xr:uid="{00000000-0005-0000-0000-000086000000}"/>
    <cellStyle name="20 % - Accent5 2" xfId="137" xr:uid="{00000000-0005-0000-0000-000087000000}"/>
    <cellStyle name="20 % - Accent5 2 10" xfId="138" xr:uid="{00000000-0005-0000-0000-000088000000}"/>
    <cellStyle name="20 % - Accent5 2 11" xfId="139" xr:uid="{00000000-0005-0000-0000-000089000000}"/>
    <cellStyle name="20 % - Accent5 2 2" xfId="140" xr:uid="{00000000-0005-0000-0000-00008A000000}"/>
    <cellStyle name="20 % - Accent5 2 3" xfId="141" xr:uid="{00000000-0005-0000-0000-00008B000000}"/>
    <cellStyle name="20 % - Accent5 2 4" xfId="142" xr:uid="{00000000-0005-0000-0000-00008C000000}"/>
    <cellStyle name="20 % - Accent5 2 5" xfId="143" xr:uid="{00000000-0005-0000-0000-00008D000000}"/>
    <cellStyle name="20 % - Accent5 2 6" xfId="144" xr:uid="{00000000-0005-0000-0000-00008E000000}"/>
    <cellStyle name="20 % - Accent5 2 7" xfId="145" xr:uid="{00000000-0005-0000-0000-00008F000000}"/>
    <cellStyle name="20 % - Accent5 2 8" xfId="146" xr:uid="{00000000-0005-0000-0000-000090000000}"/>
    <cellStyle name="20 % - Accent5 2 9" xfId="147" xr:uid="{00000000-0005-0000-0000-000091000000}"/>
    <cellStyle name="20 % - Accent5 3" xfId="148" xr:uid="{00000000-0005-0000-0000-000092000000}"/>
    <cellStyle name="20 % - Accent5 3 2" xfId="149" xr:uid="{00000000-0005-0000-0000-000093000000}"/>
    <cellStyle name="20 % - Accent5 4" xfId="150" xr:uid="{00000000-0005-0000-0000-000094000000}"/>
    <cellStyle name="20 % - Accent5 4 2" xfId="151" xr:uid="{00000000-0005-0000-0000-000095000000}"/>
    <cellStyle name="20 % - Accent5 5" xfId="152" xr:uid="{00000000-0005-0000-0000-000096000000}"/>
    <cellStyle name="20 % - Accent5 5 2" xfId="153" xr:uid="{00000000-0005-0000-0000-000097000000}"/>
    <cellStyle name="20 % - Accent5 6" xfId="154" xr:uid="{00000000-0005-0000-0000-000098000000}"/>
    <cellStyle name="20 % - Accent5 6 2" xfId="155" xr:uid="{00000000-0005-0000-0000-000099000000}"/>
    <cellStyle name="20 % - Accent5 7" xfId="156" xr:uid="{00000000-0005-0000-0000-00009A000000}"/>
    <cellStyle name="20 % - Accent5 7 2" xfId="157" xr:uid="{00000000-0005-0000-0000-00009B000000}"/>
    <cellStyle name="20 % - Accent5 8" xfId="158" xr:uid="{00000000-0005-0000-0000-00009C000000}"/>
    <cellStyle name="20 % - Accent5 8 2" xfId="159" xr:uid="{00000000-0005-0000-0000-00009D000000}"/>
    <cellStyle name="20 % - Accent5 9" xfId="160" xr:uid="{00000000-0005-0000-0000-00009E000000}"/>
    <cellStyle name="20 % - Accent5 9 2" xfId="161" xr:uid="{00000000-0005-0000-0000-00009F000000}"/>
    <cellStyle name="20 % - Accent6 10" xfId="162" xr:uid="{00000000-0005-0000-0000-0000A0000000}"/>
    <cellStyle name="20 % - Accent6 10 2" xfId="163" xr:uid="{00000000-0005-0000-0000-0000A1000000}"/>
    <cellStyle name="20 % - Accent6 11" xfId="164" xr:uid="{00000000-0005-0000-0000-0000A2000000}"/>
    <cellStyle name="20 % - Accent6 11 2" xfId="165" xr:uid="{00000000-0005-0000-0000-0000A3000000}"/>
    <cellStyle name="20 % - Accent6 12" xfId="166" xr:uid="{00000000-0005-0000-0000-0000A4000000}"/>
    <cellStyle name="20 % - Accent6 12 2" xfId="167" xr:uid="{00000000-0005-0000-0000-0000A5000000}"/>
    <cellStyle name="20 % - Accent6 13" xfId="168" xr:uid="{00000000-0005-0000-0000-0000A6000000}"/>
    <cellStyle name="20 % - Accent6 2" xfId="169" xr:uid="{00000000-0005-0000-0000-0000A7000000}"/>
    <cellStyle name="20 % - Accent6 2 10" xfId="170" xr:uid="{00000000-0005-0000-0000-0000A8000000}"/>
    <cellStyle name="20 % - Accent6 2 11" xfId="171" xr:uid="{00000000-0005-0000-0000-0000A9000000}"/>
    <cellStyle name="20 % - Accent6 2 2" xfId="172" xr:uid="{00000000-0005-0000-0000-0000AA000000}"/>
    <cellStyle name="20 % - Accent6 2 3" xfId="173" xr:uid="{00000000-0005-0000-0000-0000AB000000}"/>
    <cellStyle name="20 % - Accent6 2 4" xfId="174" xr:uid="{00000000-0005-0000-0000-0000AC000000}"/>
    <cellStyle name="20 % - Accent6 2 5" xfId="175" xr:uid="{00000000-0005-0000-0000-0000AD000000}"/>
    <cellStyle name="20 % - Accent6 2 6" xfId="176" xr:uid="{00000000-0005-0000-0000-0000AE000000}"/>
    <cellStyle name="20 % - Accent6 2 7" xfId="177" xr:uid="{00000000-0005-0000-0000-0000AF000000}"/>
    <cellStyle name="20 % - Accent6 2 8" xfId="178" xr:uid="{00000000-0005-0000-0000-0000B0000000}"/>
    <cellStyle name="20 % - Accent6 2 9" xfId="179" xr:uid="{00000000-0005-0000-0000-0000B1000000}"/>
    <cellStyle name="20 % - Accent6 3" xfId="180" xr:uid="{00000000-0005-0000-0000-0000B2000000}"/>
    <cellStyle name="20 % - Accent6 3 2" xfId="181" xr:uid="{00000000-0005-0000-0000-0000B3000000}"/>
    <cellStyle name="20 % - Accent6 4" xfId="182" xr:uid="{00000000-0005-0000-0000-0000B4000000}"/>
    <cellStyle name="20 % - Accent6 4 2" xfId="183" xr:uid="{00000000-0005-0000-0000-0000B5000000}"/>
    <cellStyle name="20 % - Accent6 5" xfId="184" xr:uid="{00000000-0005-0000-0000-0000B6000000}"/>
    <cellStyle name="20 % - Accent6 5 2" xfId="185" xr:uid="{00000000-0005-0000-0000-0000B7000000}"/>
    <cellStyle name="20 % - Accent6 6" xfId="186" xr:uid="{00000000-0005-0000-0000-0000B8000000}"/>
    <cellStyle name="20 % - Accent6 6 2" xfId="187" xr:uid="{00000000-0005-0000-0000-0000B9000000}"/>
    <cellStyle name="20 % - Accent6 7" xfId="188" xr:uid="{00000000-0005-0000-0000-0000BA000000}"/>
    <cellStyle name="20 % - Accent6 7 2" xfId="189" xr:uid="{00000000-0005-0000-0000-0000BB000000}"/>
    <cellStyle name="20 % - Accent6 8" xfId="190" xr:uid="{00000000-0005-0000-0000-0000BC000000}"/>
    <cellStyle name="20 % - Accent6 8 2" xfId="191" xr:uid="{00000000-0005-0000-0000-0000BD000000}"/>
    <cellStyle name="20 % - Accent6 9" xfId="192" xr:uid="{00000000-0005-0000-0000-0000BE000000}"/>
    <cellStyle name="20 % - Accent6 9 2" xfId="193" xr:uid="{00000000-0005-0000-0000-0000BF000000}"/>
    <cellStyle name="40 % - Accent1 10" xfId="194" xr:uid="{00000000-0005-0000-0000-0000C0000000}"/>
    <cellStyle name="40 % - Accent1 10 2" xfId="195" xr:uid="{00000000-0005-0000-0000-0000C1000000}"/>
    <cellStyle name="40 % - Accent1 11" xfId="196" xr:uid="{00000000-0005-0000-0000-0000C2000000}"/>
    <cellStyle name="40 % - Accent1 11 2" xfId="197" xr:uid="{00000000-0005-0000-0000-0000C3000000}"/>
    <cellStyle name="40 % - Accent1 12" xfId="198" xr:uid="{00000000-0005-0000-0000-0000C4000000}"/>
    <cellStyle name="40 % - Accent1 12 2" xfId="199" xr:uid="{00000000-0005-0000-0000-0000C5000000}"/>
    <cellStyle name="40 % - Accent1 13" xfId="200" xr:uid="{00000000-0005-0000-0000-0000C6000000}"/>
    <cellStyle name="40 % - Accent1 2" xfId="201" xr:uid="{00000000-0005-0000-0000-0000C7000000}"/>
    <cellStyle name="40 % - Accent1 2 10" xfId="202" xr:uid="{00000000-0005-0000-0000-0000C8000000}"/>
    <cellStyle name="40 % - Accent1 2 11" xfId="203" xr:uid="{00000000-0005-0000-0000-0000C9000000}"/>
    <cellStyle name="40 % - Accent1 2 2" xfId="204" xr:uid="{00000000-0005-0000-0000-0000CA000000}"/>
    <cellStyle name="40 % - Accent1 2 3" xfId="205" xr:uid="{00000000-0005-0000-0000-0000CB000000}"/>
    <cellStyle name="40 % - Accent1 2 4" xfId="206" xr:uid="{00000000-0005-0000-0000-0000CC000000}"/>
    <cellStyle name="40 % - Accent1 2 5" xfId="207" xr:uid="{00000000-0005-0000-0000-0000CD000000}"/>
    <cellStyle name="40 % - Accent1 2 6" xfId="208" xr:uid="{00000000-0005-0000-0000-0000CE000000}"/>
    <cellStyle name="40 % - Accent1 2 7" xfId="209" xr:uid="{00000000-0005-0000-0000-0000CF000000}"/>
    <cellStyle name="40 % - Accent1 2 8" xfId="210" xr:uid="{00000000-0005-0000-0000-0000D0000000}"/>
    <cellStyle name="40 % - Accent1 2 9" xfId="211" xr:uid="{00000000-0005-0000-0000-0000D1000000}"/>
    <cellStyle name="40 % - Accent1 3" xfId="212" xr:uid="{00000000-0005-0000-0000-0000D2000000}"/>
    <cellStyle name="40 % - Accent1 3 2" xfId="213" xr:uid="{00000000-0005-0000-0000-0000D3000000}"/>
    <cellStyle name="40 % - Accent1 4" xfId="214" xr:uid="{00000000-0005-0000-0000-0000D4000000}"/>
    <cellStyle name="40 % - Accent1 4 2" xfId="215" xr:uid="{00000000-0005-0000-0000-0000D5000000}"/>
    <cellStyle name="40 % - Accent1 5" xfId="216" xr:uid="{00000000-0005-0000-0000-0000D6000000}"/>
    <cellStyle name="40 % - Accent1 5 2" xfId="217" xr:uid="{00000000-0005-0000-0000-0000D7000000}"/>
    <cellStyle name="40 % - Accent1 6" xfId="218" xr:uid="{00000000-0005-0000-0000-0000D8000000}"/>
    <cellStyle name="40 % - Accent1 6 2" xfId="219" xr:uid="{00000000-0005-0000-0000-0000D9000000}"/>
    <cellStyle name="40 % - Accent1 7" xfId="220" xr:uid="{00000000-0005-0000-0000-0000DA000000}"/>
    <cellStyle name="40 % - Accent1 7 2" xfId="221" xr:uid="{00000000-0005-0000-0000-0000DB000000}"/>
    <cellStyle name="40 % - Accent1 8" xfId="222" xr:uid="{00000000-0005-0000-0000-0000DC000000}"/>
    <cellStyle name="40 % - Accent1 8 2" xfId="223" xr:uid="{00000000-0005-0000-0000-0000DD000000}"/>
    <cellStyle name="40 % - Accent1 9" xfId="224" xr:uid="{00000000-0005-0000-0000-0000DE000000}"/>
    <cellStyle name="40 % - Accent1 9 2" xfId="225" xr:uid="{00000000-0005-0000-0000-0000DF000000}"/>
    <cellStyle name="40 % - Accent2 10" xfId="226" xr:uid="{00000000-0005-0000-0000-0000E0000000}"/>
    <cellStyle name="40 % - Accent2 10 2" xfId="227" xr:uid="{00000000-0005-0000-0000-0000E1000000}"/>
    <cellStyle name="40 % - Accent2 11" xfId="228" xr:uid="{00000000-0005-0000-0000-0000E2000000}"/>
    <cellStyle name="40 % - Accent2 11 2" xfId="229" xr:uid="{00000000-0005-0000-0000-0000E3000000}"/>
    <cellStyle name="40 % - Accent2 12" xfId="230" xr:uid="{00000000-0005-0000-0000-0000E4000000}"/>
    <cellStyle name="40 % - Accent2 12 2" xfId="231" xr:uid="{00000000-0005-0000-0000-0000E5000000}"/>
    <cellStyle name="40 % - Accent2 13" xfId="232" xr:uid="{00000000-0005-0000-0000-0000E6000000}"/>
    <cellStyle name="40 % - Accent2 2" xfId="233" xr:uid="{00000000-0005-0000-0000-0000E7000000}"/>
    <cellStyle name="40 % - Accent2 2 10" xfId="234" xr:uid="{00000000-0005-0000-0000-0000E8000000}"/>
    <cellStyle name="40 % - Accent2 2 11" xfId="235" xr:uid="{00000000-0005-0000-0000-0000E9000000}"/>
    <cellStyle name="40 % - Accent2 2 2" xfId="236" xr:uid="{00000000-0005-0000-0000-0000EA000000}"/>
    <cellStyle name="40 % - Accent2 2 3" xfId="237" xr:uid="{00000000-0005-0000-0000-0000EB000000}"/>
    <cellStyle name="40 % - Accent2 2 4" xfId="238" xr:uid="{00000000-0005-0000-0000-0000EC000000}"/>
    <cellStyle name="40 % - Accent2 2 5" xfId="239" xr:uid="{00000000-0005-0000-0000-0000ED000000}"/>
    <cellStyle name="40 % - Accent2 2 6" xfId="240" xr:uid="{00000000-0005-0000-0000-0000EE000000}"/>
    <cellStyle name="40 % - Accent2 2 7" xfId="241" xr:uid="{00000000-0005-0000-0000-0000EF000000}"/>
    <cellStyle name="40 % - Accent2 2 8" xfId="242" xr:uid="{00000000-0005-0000-0000-0000F0000000}"/>
    <cellStyle name="40 % - Accent2 2 9" xfId="243" xr:uid="{00000000-0005-0000-0000-0000F1000000}"/>
    <cellStyle name="40 % - Accent2 3" xfId="244" xr:uid="{00000000-0005-0000-0000-0000F2000000}"/>
    <cellStyle name="40 % - Accent2 3 2" xfId="245" xr:uid="{00000000-0005-0000-0000-0000F3000000}"/>
    <cellStyle name="40 % - Accent2 4" xfId="246" xr:uid="{00000000-0005-0000-0000-0000F4000000}"/>
    <cellStyle name="40 % - Accent2 4 2" xfId="247" xr:uid="{00000000-0005-0000-0000-0000F5000000}"/>
    <cellStyle name="40 % - Accent2 5" xfId="248" xr:uid="{00000000-0005-0000-0000-0000F6000000}"/>
    <cellStyle name="40 % - Accent2 5 2" xfId="249" xr:uid="{00000000-0005-0000-0000-0000F7000000}"/>
    <cellStyle name="40 % - Accent2 6" xfId="250" xr:uid="{00000000-0005-0000-0000-0000F8000000}"/>
    <cellStyle name="40 % - Accent2 6 2" xfId="251" xr:uid="{00000000-0005-0000-0000-0000F9000000}"/>
    <cellStyle name="40 % - Accent2 7" xfId="252" xr:uid="{00000000-0005-0000-0000-0000FA000000}"/>
    <cellStyle name="40 % - Accent2 7 2" xfId="253" xr:uid="{00000000-0005-0000-0000-0000FB000000}"/>
    <cellStyle name="40 % - Accent2 8" xfId="254" xr:uid="{00000000-0005-0000-0000-0000FC000000}"/>
    <cellStyle name="40 % - Accent2 8 2" xfId="255" xr:uid="{00000000-0005-0000-0000-0000FD000000}"/>
    <cellStyle name="40 % - Accent2 9" xfId="256" xr:uid="{00000000-0005-0000-0000-0000FE000000}"/>
    <cellStyle name="40 % - Accent2 9 2" xfId="257" xr:uid="{00000000-0005-0000-0000-0000FF000000}"/>
    <cellStyle name="40 % - Accent3 10" xfId="258" xr:uid="{00000000-0005-0000-0000-000000010000}"/>
    <cellStyle name="40 % - Accent3 10 2" xfId="259" xr:uid="{00000000-0005-0000-0000-000001010000}"/>
    <cellStyle name="40 % - Accent3 11" xfId="260" xr:uid="{00000000-0005-0000-0000-000002010000}"/>
    <cellStyle name="40 % - Accent3 11 2" xfId="261" xr:uid="{00000000-0005-0000-0000-000003010000}"/>
    <cellStyle name="40 % - Accent3 12" xfId="262" xr:uid="{00000000-0005-0000-0000-000004010000}"/>
    <cellStyle name="40 % - Accent3 12 2" xfId="263" xr:uid="{00000000-0005-0000-0000-000005010000}"/>
    <cellStyle name="40 % - Accent3 13" xfId="264" xr:uid="{00000000-0005-0000-0000-000006010000}"/>
    <cellStyle name="40 % - Accent3 2" xfId="265" xr:uid="{00000000-0005-0000-0000-000007010000}"/>
    <cellStyle name="40 % - Accent3 2 10" xfId="266" xr:uid="{00000000-0005-0000-0000-000008010000}"/>
    <cellStyle name="40 % - Accent3 2 11" xfId="267" xr:uid="{00000000-0005-0000-0000-000009010000}"/>
    <cellStyle name="40 % - Accent3 2 2" xfId="268" xr:uid="{00000000-0005-0000-0000-00000A010000}"/>
    <cellStyle name="40 % - Accent3 2 3" xfId="269" xr:uid="{00000000-0005-0000-0000-00000B010000}"/>
    <cellStyle name="40 % - Accent3 2 4" xfId="270" xr:uid="{00000000-0005-0000-0000-00000C010000}"/>
    <cellStyle name="40 % - Accent3 2 5" xfId="271" xr:uid="{00000000-0005-0000-0000-00000D010000}"/>
    <cellStyle name="40 % - Accent3 2 6" xfId="272" xr:uid="{00000000-0005-0000-0000-00000E010000}"/>
    <cellStyle name="40 % - Accent3 2 7" xfId="273" xr:uid="{00000000-0005-0000-0000-00000F010000}"/>
    <cellStyle name="40 % - Accent3 2 8" xfId="274" xr:uid="{00000000-0005-0000-0000-000010010000}"/>
    <cellStyle name="40 % - Accent3 2 9" xfId="275" xr:uid="{00000000-0005-0000-0000-000011010000}"/>
    <cellStyle name="40 % - Accent3 3" xfId="276" xr:uid="{00000000-0005-0000-0000-000012010000}"/>
    <cellStyle name="40 % - Accent3 3 2" xfId="277" xr:uid="{00000000-0005-0000-0000-000013010000}"/>
    <cellStyle name="40 % - Accent3 4" xfId="278" xr:uid="{00000000-0005-0000-0000-000014010000}"/>
    <cellStyle name="40 % - Accent3 4 2" xfId="279" xr:uid="{00000000-0005-0000-0000-000015010000}"/>
    <cellStyle name="40 % - Accent3 5" xfId="280" xr:uid="{00000000-0005-0000-0000-000016010000}"/>
    <cellStyle name="40 % - Accent3 5 2" xfId="281" xr:uid="{00000000-0005-0000-0000-000017010000}"/>
    <cellStyle name="40 % - Accent3 6" xfId="282" xr:uid="{00000000-0005-0000-0000-000018010000}"/>
    <cellStyle name="40 % - Accent3 6 2" xfId="283" xr:uid="{00000000-0005-0000-0000-000019010000}"/>
    <cellStyle name="40 % - Accent3 7" xfId="284" xr:uid="{00000000-0005-0000-0000-00001A010000}"/>
    <cellStyle name="40 % - Accent3 7 2" xfId="285" xr:uid="{00000000-0005-0000-0000-00001B010000}"/>
    <cellStyle name="40 % - Accent3 8" xfId="286" xr:uid="{00000000-0005-0000-0000-00001C010000}"/>
    <cellStyle name="40 % - Accent3 8 2" xfId="287" xr:uid="{00000000-0005-0000-0000-00001D010000}"/>
    <cellStyle name="40 % - Accent3 9" xfId="288" xr:uid="{00000000-0005-0000-0000-00001E010000}"/>
    <cellStyle name="40 % - Accent3 9 2" xfId="289" xr:uid="{00000000-0005-0000-0000-00001F010000}"/>
    <cellStyle name="40 % - Accent4 10" xfId="290" xr:uid="{00000000-0005-0000-0000-000020010000}"/>
    <cellStyle name="40 % - Accent4 10 2" xfId="291" xr:uid="{00000000-0005-0000-0000-000021010000}"/>
    <cellStyle name="40 % - Accent4 11" xfId="292" xr:uid="{00000000-0005-0000-0000-000022010000}"/>
    <cellStyle name="40 % - Accent4 11 2" xfId="293" xr:uid="{00000000-0005-0000-0000-000023010000}"/>
    <cellStyle name="40 % - Accent4 12" xfId="294" xr:uid="{00000000-0005-0000-0000-000024010000}"/>
    <cellStyle name="40 % - Accent4 12 2" xfId="295" xr:uid="{00000000-0005-0000-0000-000025010000}"/>
    <cellStyle name="40 % - Accent4 13" xfId="296" xr:uid="{00000000-0005-0000-0000-000026010000}"/>
    <cellStyle name="40 % - Accent4 2" xfId="297" xr:uid="{00000000-0005-0000-0000-000027010000}"/>
    <cellStyle name="40 % - Accent4 2 10" xfId="298" xr:uid="{00000000-0005-0000-0000-000028010000}"/>
    <cellStyle name="40 % - Accent4 2 11" xfId="299" xr:uid="{00000000-0005-0000-0000-000029010000}"/>
    <cellStyle name="40 % - Accent4 2 2" xfId="300" xr:uid="{00000000-0005-0000-0000-00002A010000}"/>
    <cellStyle name="40 % - Accent4 2 3" xfId="301" xr:uid="{00000000-0005-0000-0000-00002B010000}"/>
    <cellStyle name="40 % - Accent4 2 4" xfId="302" xr:uid="{00000000-0005-0000-0000-00002C010000}"/>
    <cellStyle name="40 % - Accent4 2 5" xfId="303" xr:uid="{00000000-0005-0000-0000-00002D010000}"/>
    <cellStyle name="40 % - Accent4 2 6" xfId="304" xr:uid="{00000000-0005-0000-0000-00002E010000}"/>
    <cellStyle name="40 % - Accent4 2 7" xfId="305" xr:uid="{00000000-0005-0000-0000-00002F010000}"/>
    <cellStyle name="40 % - Accent4 2 8" xfId="306" xr:uid="{00000000-0005-0000-0000-000030010000}"/>
    <cellStyle name="40 % - Accent4 2 9" xfId="307" xr:uid="{00000000-0005-0000-0000-000031010000}"/>
    <cellStyle name="40 % - Accent4 3" xfId="308" xr:uid="{00000000-0005-0000-0000-000032010000}"/>
    <cellStyle name="40 % - Accent4 3 2" xfId="309" xr:uid="{00000000-0005-0000-0000-000033010000}"/>
    <cellStyle name="40 % - Accent4 4" xfId="310" xr:uid="{00000000-0005-0000-0000-000034010000}"/>
    <cellStyle name="40 % - Accent4 4 2" xfId="311" xr:uid="{00000000-0005-0000-0000-000035010000}"/>
    <cellStyle name="40 % - Accent4 5" xfId="312" xr:uid="{00000000-0005-0000-0000-000036010000}"/>
    <cellStyle name="40 % - Accent4 5 2" xfId="313" xr:uid="{00000000-0005-0000-0000-000037010000}"/>
    <cellStyle name="40 % - Accent4 6" xfId="314" xr:uid="{00000000-0005-0000-0000-000038010000}"/>
    <cellStyle name="40 % - Accent4 6 2" xfId="315" xr:uid="{00000000-0005-0000-0000-000039010000}"/>
    <cellStyle name="40 % - Accent4 7" xfId="316" xr:uid="{00000000-0005-0000-0000-00003A010000}"/>
    <cellStyle name="40 % - Accent4 7 2" xfId="317" xr:uid="{00000000-0005-0000-0000-00003B010000}"/>
    <cellStyle name="40 % - Accent4 8" xfId="318" xr:uid="{00000000-0005-0000-0000-00003C010000}"/>
    <cellStyle name="40 % - Accent4 8 2" xfId="319" xr:uid="{00000000-0005-0000-0000-00003D010000}"/>
    <cellStyle name="40 % - Accent4 9" xfId="320" xr:uid="{00000000-0005-0000-0000-00003E010000}"/>
    <cellStyle name="40 % - Accent4 9 2" xfId="321" xr:uid="{00000000-0005-0000-0000-00003F010000}"/>
    <cellStyle name="40 % - Accent5 10" xfId="322" xr:uid="{00000000-0005-0000-0000-000040010000}"/>
    <cellStyle name="40 % - Accent5 10 2" xfId="323" xr:uid="{00000000-0005-0000-0000-000041010000}"/>
    <cellStyle name="40 % - Accent5 11" xfId="324" xr:uid="{00000000-0005-0000-0000-000042010000}"/>
    <cellStyle name="40 % - Accent5 11 2" xfId="325" xr:uid="{00000000-0005-0000-0000-000043010000}"/>
    <cellStyle name="40 % - Accent5 12" xfId="326" xr:uid="{00000000-0005-0000-0000-000044010000}"/>
    <cellStyle name="40 % - Accent5 12 2" xfId="327" xr:uid="{00000000-0005-0000-0000-000045010000}"/>
    <cellStyle name="40 % - Accent5 13" xfId="328" xr:uid="{00000000-0005-0000-0000-000046010000}"/>
    <cellStyle name="40 % - Accent5 2" xfId="329" xr:uid="{00000000-0005-0000-0000-000047010000}"/>
    <cellStyle name="40 % - Accent5 2 10" xfId="330" xr:uid="{00000000-0005-0000-0000-000048010000}"/>
    <cellStyle name="40 % - Accent5 2 11" xfId="331" xr:uid="{00000000-0005-0000-0000-000049010000}"/>
    <cellStyle name="40 % - Accent5 2 2" xfId="332" xr:uid="{00000000-0005-0000-0000-00004A010000}"/>
    <cellStyle name="40 % - Accent5 2 3" xfId="333" xr:uid="{00000000-0005-0000-0000-00004B010000}"/>
    <cellStyle name="40 % - Accent5 2 4" xfId="334" xr:uid="{00000000-0005-0000-0000-00004C010000}"/>
    <cellStyle name="40 % - Accent5 2 5" xfId="335" xr:uid="{00000000-0005-0000-0000-00004D010000}"/>
    <cellStyle name="40 % - Accent5 2 6" xfId="336" xr:uid="{00000000-0005-0000-0000-00004E010000}"/>
    <cellStyle name="40 % - Accent5 2 7" xfId="337" xr:uid="{00000000-0005-0000-0000-00004F010000}"/>
    <cellStyle name="40 % - Accent5 2 8" xfId="338" xr:uid="{00000000-0005-0000-0000-000050010000}"/>
    <cellStyle name="40 % - Accent5 2 9" xfId="339" xr:uid="{00000000-0005-0000-0000-000051010000}"/>
    <cellStyle name="40 % - Accent5 3" xfId="340" xr:uid="{00000000-0005-0000-0000-000052010000}"/>
    <cellStyle name="40 % - Accent5 3 2" xfId="341" xr:uid="{00000000-0005-0000-0000-000053010000}"/>
    <cellStyle name="40 % - Accent5 4" xfId="342" xr:uid="{00000000-0005-0000-0000-000054010000}"/>
    <cellStyle name="40 % - Accent5 4 2" xfId="343" xr:uid="{00000000-0005-0000-0000-000055010000}"/>
    <cellStyle name="40 % - Accent5 5" xfId="344" xr:uid="{00000000-0005-0000-0000-000056010000}"/>
    <cellStyle name="40 % - Accent5 5 2" xfId="345" xr:uid="{00000000-0005-0000-0000-000057010000}"/>
    <cellStyle name="40 % - Accent5 6" xfId="346" xr:uid="{00000000-0005-0000-0000-000058010000}"/>
    <cellStyle name="40 % - Accent5 6 2" xfId="347" xr:uid="{00000000-0005-0000-0000-000059010000}"/>
    <cellStyle name="40 % - Accent5 7" xfId="348" xr:uid="{00000000-0005-0000-0000-00005A010000}"/>
    <cellStyle name="40 % - Accent5 7 2" xfId="349" xr:uid="{00000000-0005-0000-0000-00005B010000}"/>
    <cellStyle name="40 % - Accent5 8" xfId="350" xr:uid="{00000000-0005-0000-0000-00005C010000}"/>
    <cellStyle name="40 % - Accent5 8 2" xfId="351" xr:uid="{00000000-0005-0000-0000-00005D010000}"/>
    <cellStyle name="40 % - Accent5 9" xfId="352" xr:uid="{00000000-0005-0000-0000-00005E010000}"/>
    <cellStyle name="40 % - Accent5 9 2" xfId="353" xr:uid="{00000000-0005-0000-0000-00005F010000}"/>
    <cellStyle name="40 % - Accent6 10" xfId="354" xr:uid="{00000000-0005-0000-0000-000060010000}"/>
    <cellStyle name="40 % - Accent6 10 2" xfId="355" xr:uid="{00000000-0005-0000-0000-000061010000}"/>
    <cellStyle name="40 % - Accent6 11" xfId="356" xr:uid="{00000000-0005-0000-0000-000062010000}"/>
    <cellStyle name="40 % - Accent6 11 2" xfId="357" xr:uid="{00000000-0005-0000-0000-000063010000}"/>
    <cellStyle name="40 % - Accent6 12" xfId="358" xr:uid="{00000000-0005-0000-0000-000064010000}"/>
    <cellStyle name="40 % - Accent6 12 2" xfId="359" xr:uid="{00000000-0005-0000-0000-000065010000}"/>
    <cellStyle name="40 % - Accent6 13" xfId="360" xr:uid="{00000000-0005-0000-0000-000066010000}"/>
    <cellStyle name="40 % - Accent6 2" xfId="361" xr:uid="{00000000-0005-0000-0000-000067010000}"/>
    <cellStyle name="40 % - Accent6 2 10" xfId="362" xr:uid="{00000000-0005-0000-0000-000068010000}"/>
    <cellStyle name="40 % - Accent6 2 11" xfId="363" xr:uid="{00000000-0005-0000-0000-000069010000}"/>
    <cellStyle name="40 % - Accent6 2 2" xfId="364" xr:uid="{00000000-0005-0000-0000-00006A010000}"/>
    <cellStyle name="40 % - Accent6 2 3" xfId="365" xr:uid="{00000000-0005-0000-0000-00006B010000}"/>
    <cellStyle name="40 % - Accent6 2 4" xfId="366" xr:uid="{00000000-0005-0000-0000-00006C010000}"/>
    <cellStyle name="40 % - Accent6 2 5" xfId="367" xr:uid="{00000000-0005-0000-0000-00006D010000}"/>
    <cellStyle name="40 % - Accent6 2 6" xfId="368" xr:uid="{00000000-0005-0000-0000-00006E010000}"/>
    <cellStyle name="40 % - Accent6 2 7" xfId="369" xr:uid="{00000000-0005-0000-0000-00006F010000}"/>
    <cellStyle name="40 % - Accent6 2 8" xfId="370" xr:uid="{00000000-0005-0000-0000-000070010000}"/>
    <cellStyle name="40 % - Accent6 2 9" xfId="371" xr:uid="{00000000-0005-0000-0000-000071010000}"/>
    <cellStyle name="40 % - Accent6 3" xfId="372" xr:uid="{00000000-0005-0000-0000-000072010000}"/>
    <cellStyle name="40 % - Accent6 3 2" xfId="373" xr:uid="{00000000-0005-0000-0000-000073010000}"/>
    <cellStyle name="40 % - Accent6 4" xfId="374" xr:uid="{00000000-0005-0000-0000-000074010000}"/>
    <cellStyle name="40 % - Accent6 4 2" xfId="375" xr:uid="{00000000-0005-0000-0000-000075010000}"/>
    <cellStyle name="40 % - Accent6 5" xfId="376" xr:uid="{00000000-0005-0000-0000-000076010000}"/>
    <cellStyle name="40 % - Accent6 5 2" xfId="377" xr:uid="{00000000-0005-0000-0000-000077010000}"/>
    <cellStyle name="40 % - Accent6 6" xfId="378" xr:uid="{00000000-0005-0000-0000-000078010000}"/>
    <cellStyle name="40 % - Accent6 6 2" xfId="379" xr:uid="{00000000-0005-0000-0000-000079010000}"/>
    <cellStyle name="40 % - Accent6 7" xfId="380" xr:uid="{00000000-0005-0000-0000-00007A010000}"/>
    <cellStyle name="40 % - Accent6 7 2" xfId="381" xr:uid="{00000000-0005-0000-0000-00007B010000}"/>
    <cellStyle name="40 % - Accent6 8" xfId="382" xr:uid="{00000000-0005-0000-0000-00007C010000}"/>
    <cellStyle name="40 % - Accent6 8 2" xfId="383" xr:uid="{00000000-0005-0000-0000-00007D010000}"/>
    <cellStyle name="40 % - Accent6 9" xfId="384" xr:uid="{00000000-0005-0000-0000-00007E010000}"/>
    <cellStyle name="40 % - Accent6 9 2" xfId="385" xr:uid="{00000000-0005-0000-0000-00007F010000}"/>
    <cellStyle name="60 % - Accent1 10" xfId="386" xr:uid="{00000000-0005-0000-0000-000080010000}"/>
    <cellStyle name="60 % - Accent1 10 2" xfId="387" xr:uid="{00000000-0005-0000-0000-000081010000}"/>
    <cellStyle name="60 % - Accent1 11" xfId="388" xr:uid="{00000000-0005-0000-0000-000082010000}"/>
    <cellStyle name="60 % - Accent1 11 2" xfId="389" xr:uid="{00000000-0005-0000-0000-000083010000}"/>
    <cellStyle name="60 % - Accent1 12" xfId="390" xr:uid="{00000000-0005-0000-0000-000084010000}"/>
    <cellStyle name="60 % - Accent1 12 2" xfId="391" xr:uid="{00000000-0005-0000-0000-000085010000}"/>
    <cellStyle name="60 % - Accent1 13" xfId="392" xr:uid="{00000000-0005-0000-0000-000086010000}"/>
    <cellStyle name="60 % - Accent1 2" xfId="393" xr:uid="{00000000-0005-0000-0000-000087010000}"/>
    <cellStyle name="60 % - Accent1 2 2" xfId="394" xr:uid="{00000000-0005-0000-0000-000088010000}"/>
    <cellStyle name="60 % - Accent1 2 3" xfId="395" xr:uid="{00000000-0005-0000-0000-000089010000}"/>
    <cellStyle name="60 % - Accent1 3" xfId="396" xr:uid="{00000000-0005-0000-0000-00008A010000}"/>
    <cellStyle name="60 % - Accent1 3 2" xfId="397" xr:uid="{00000000-0005-0000-0000-00008B010000}"/>
    <cellStyle name="60 % - Accent1 4" xfId="398" xr:uid="{00000000-0005-0000-0000-00008C010000}"/>
    <cellStyle name="60 % - Accent1 4 2" xfId="399" xr:uid="{00000000-0005-0000-0000-00008D010000}"/>
    <cellStyle name="60 % - Accent1 5" xfId="400" xr:uid="{00000000-0005-0000-0000-00008E010000}"/>
    <cellStyle name="60 % - Accent1 5 2" xfId="401" xr:uid="{00000000-0005-0000-0000-00008F010000}"/>
    <cellStyle name="60 % - Accent1 6" xfId="402" xr:uid="{00000000-0005-0000-0000-000090010000}"/>
    <cellStyle name="60 % - Accent1 6 2" xfId="403" xr:uid="{00000000-0005-0000-0000-000091010000}"/>
    <cellStyle name="60 % - Accent1 7" xfId="404" xr:uid="{00000000-0005-0000-0000-000092010000}"/>
    <cellStyle name="60 % - Accent1 7 2" xfId="405" xr:uid="{00000000-0005-0000-0000-000093010000}"/>
    <cellStyle name="60 % - Accent1 8" xfId="406" xr:uid="{00000000-0005-0000-0000-000094010000}"/>
    <cellStyle name="60 % - Accent1 8 2" xfId="407" xr:uid="{00000000-0005-0000-0000-000095010000}"/>
    <cellStyle name="60 % - Accent1 9" xfId="408" xr:uid="{00000000-0005-0000-0000-000096010000}"/>
    <cellStyle name="60 % - Accent1 9 2" xfId="409" xr:uid="{00000000-0005-0000-0000-000097010000}"/>
    <cellStyle name="60 % - Accent2 10" xfId="410" xr:uid="{00000000-0005-0000-0000-000098010000}"/>
    <cellStyle name="60 % - Accent2 10 2" xfId="411" xr:uid="{00000000-0005-0000-0000-000099010000}"/>
    <cellStyle name="60 % - Accent2 11" xfId="412" xr:uid="{00000000-0005-0000-0000-00009A010000}"/>
    <cellStyle name="60 % - Accent2 11 2" xfId="413" xr:uid="{00000000-0005-0000-0000-00009B010000}"/>
    <cellStyle name="60 % - Accent2 12" xfId="414" xr:uid="{00000000-0005-0000-0000-00009C010000}"/>
    <cellStyle name="60 % - Accent2 12 2" xfId="415" xr:uid="{00000000-0005-0000-0000-00009D010000}"/>
    <cellStyle name="60 % - Accent2 13" xfId="416" xr:uid="{00000000-0005-0000-0000-00009E010000}"/>
    <cellStyle name="60 % - Accent2 2" xfId="417" xr:uid="{00000000-0005-0000-0000-00009F010000}"/>
    <cellStyle name="60 % - Accent2 2 2" xfId="418" xr:uid="{00000000-0005-0000-0000-0000A0010000}"/>
    <cellStyle name="60 % - Accent2 2 3" xfId="419" xr:uid="{00000000-0005-0000-0000-0000A1010000}"/>
    <cellStyle name="60 % - Accent2 3" xfId="420" xr:uid="{00000000-0005-0000-0000-0000A2010000}"/>
    <cellStyle name="60 % - Accent2 3 2" xfId="421" xr:uid="{00000000-0005-0000-0000-0000A3010000}"/>
    <cellStyle name="60 % - Accent2 4" xfId="422" xr:uid="{00000000-0005-0000-0000-0000A4010000}"/>
    <cellStyle name="60 % - Accent2 4 2" xfId="423" xr:uid="{00000000-0005-0000-0000-0000A5010000}"/>
    <cellStyle name="60 % - Accent2 5" xfId="424" xr:uid="{00000000-0005-0000-0000-0000A6010000}"/>
    <cellStyle name="60 % - Accent2 5 2" xfId="425" xr:uid="{00000000-0005-0000-0000-0000A7010000}"/>
    <cellStyle name="60 % - Accent2 6" xfId="426" xr:uid="{00000000-0005-0000-0000-0000A8010000}"/>
    <cellStyle name="60 % - Accent2 6 2" xfId="427" xr:uid="{00000000-0005-0000-0000-0000A9010000}"/>
    <cellStyle name="60 % - Accent2 7" xfId="428" xr:uid="{00000000-0005-0000-0000-0000AA010000}"/>
    <cellStyle name="60 % - Accent2 7 2" xfId="429" xr:uid="{00000000-0005-0000-0000-0000AB010000}"/>
    <cellStyle name="60 % - Accent2 8" xfId="430" xr:uid="{00000000-0005-0000-0000-0000AC010000}"/>
    <cellStyle name="60 % - Accent2 8 2" xfId="431" xr:uid="{00000000-0005-0000-0000-0000AD010000}"/>
    <cellStyle name="60 % - Accent2 9" xfId="432" xr:uid="{00000000-0005-0000-0000-0000AE010000}"/>
    <cellStyle name="60 % - Accent2 9 2" xfId="433" xr:uid="{00000000-0005-0000-0000-0000AF010000}"/>
    <cellStyle name="60 % - Accent3 10" xfId="434" xr:uid="{00000000-0005-0000-0000-0000B0010000}"/>
    <cellStyle name="60 % - Accent3 10 2" xfId="435" xr:uid="{00000000-0005-0000-0000-0000B1010000}"/>
    <cellStyle name="60 % - Accent3 11" xfId="436" xr:uid="{00000000-0005-0000-0000-0000B2010000}"/>
    <cellStyle name="60 % - Accent3 11 2" xfId="437" xr:uid="{00000000-0005-0000-0000-0000B3010000}"/>
    <cellStyle name="60 % - Accent3 12" xfId="438" xr:uid="{00000000-0005-0000-0000-0000B4010000}"/>
    <cellStyle name="60 % - Accent3 12 2" xfId="439" xr:uid="{00000000-0005-0000-0000-0000B5010000}"/>
    <cellStyle name="60 % - Accent3 13" xfId="440" xr:uid="{00000000-0005-0000-0000-0000B6010000}"/>
    <cellStyle name="60 % - Accent3 2" xfId="441" xr:uid="{00000000-0005-0000-0000-0000B7010000}"/>
    <cellStyle name="60 % - Accent3 2 2" xfId="442" xr:uid="{00000000-0005-0000-0000-0000B8010000}"/>
    <cellStyle name="60 % - Accent3 2 3" xfId="443" xr:uid="{00000000-0005-0000-0000-0000B9010000}"/>
    <cellStyle name="60 % - Accent3 3" xfId="444" xr:uid="{00000000-0005-0000-0000-0000BA010000}"/>
    <cellStyle name="60 % - Accent3 3 2" xfId="445" xr:uid="{00000000-0005-0000-0000-0000BB010000}"/>
    <cellStyle name="60 % - Accent3 4" xfId="446" xr:uid="{00000000-0005-0000-0000-0000BC010000}"/>
    <cellStyle name="60 % - Accent3 4 2" xfId="447" xr:uid="{00000000-0005-0000-0000-0000BD010000}"/>
    <cellStyle name="60 % - Accent3 5" xfId="448" xr:uid="{00000000-0005-0000-0000-0000BE010000}"/>
    <cellStyle name="60 % - Accent3 5 2" xfId="449" xr:uid="{00000000-0005-0000-0000-0000BF010000}"/>
    <cellStyle name="60 % - Accent3 6" xfId="450" xr:uid="{00000000-0005-0000-0000-0000C0010000}"/>
    <cellStyle name="60 % - Accent3 6 2" xfId="451" xr:uid="{00000000-0005-0000-0000-0000C1010000}"/>
    <cellStyle name="60 % - Accent3 7" xfId="452" xr:uid="{00000000-0005-0000-0000-0000C2010000}"/>
    <cellStyle name="60 % - Accent3 7 2" xfId="453" xr:uid="{00000000-0005-0000-0000-0000C3010000}"/>
    <cellStyle name="60 % - Accent3 8" xfId="454" xr:uid="{00000000-0005-0000-0000-0000C4010000}"/>
    <cellStyle name="60 % - Accent3 8 2" xfId="455" xr:uid="{00000000-0005-0000-0000-0000C5010000}"/>
    <cellStyle name="60 % - Accent3 9" xfId="456" xr:uid="{00000000-0005-0000-0000-0000C6010000}"/>
    <cellStyle name="60 % - Accent3 9 2" xfId="457" xr:uid="{00000000-0005-0000-0000-0000C7010000}"/>
    <cellStyle name="60 % - Accent4 10" xfId="458" xr:uid="{00000000-0005-0000-0000-0000C8010000}"/>
    <cellStyle name="60 % - Accent4 10 2" xfId="459" xr:uid="{00000000-0005-0000-0000-0000C9010000}"/>
    <cellStyle name="60 % - Accent4 11" xfId="460" xr:uid="{00000000-0005-0000-0000-0000CA010000}"/>
    <cellStyle name="60 % - Accent4 11 2" xfId="461" xr:uid="{00000000-0005-0000-0000-0000CB010000}"/>
    <cellStyle name="60 % - Accent4 12" xfId="462" xr:uid="{00000000-0005-0000-0000-0000CC010000}"/>
    <cellStyle name="60 % - Accent4 12 2" xfId="463" xr:uid="{00000000-0005-0000-0000-0000CD010000}"/>
    <cellStyle name="60 % - Accent4 13" xfId="464" xr:uid="{00000000-0005-0000-0000-0000CE010000}"/>
    <cellStyle name="60 % - Accent4 2" xfId="465" xr:uid="{00000000-0005-0000-0000-0000CF010000}"/>
    <cellStyle name="60 % - Accent4 2 2" xfId="466" xr:uid="{00000000-0005-0000-0000-0000D0010000}"/>
    <cellStyle name="60 % - Accent4 2 3" xfId="467" xr:uid="{00000000-0005-0000-0000-0000D1010000}"/>
    <cellStyle name="60 % - Accent4 3" xfId="468" xr:uid="{00000000-0005-0000-0000-0000D2010000}"/>
    <cellStyle name="60 % - Accent4 3 2" xfId="469" xr:uid="{00000000-0005-0000-0000-0000D3010000}"/>
    <cellStyle name="60 % - Accent4 4" xfId="470" xr:uid="{00000000-0005-0000-0000-0000D4010000}"/>
    <cellStyle name="60 % - Accent4 4 2" xfId="471" xr:uid="{00000000-0005-0000-0000-0000D5010000}"/>
    <cellStyle name="60 % - Accent4 5" xfId="472" xr:uid="{00000000-0005-0000-0000-0000D6010000}"/>
    <cellStyle name="60 % - Accent4 5 2" xfId="473" xr:uid="{00000000-0005-0000-0000-0000D7010000}"/>
    <cellStyle name="60 % - Accent4 6" xfId="474" xr:uid="{00000000-0005-0000-0000-0000D8010000}"/>
    <cellStyle name="60 % - Accent4 6 2" xfId="475" xr:uid="{00000000-0005-0000-0000-0000D9010000}"/>
    <cellStyle name="60 % - Accent4 7" xfId="476" xr:uid="{00000000-0005-0000-0000-0000DA010000}"/>
    <cellStyle name="60 % - Accent4 7 2" xfId="477" xr:uid="{00000000-0005-0000-0000-0000DB010000}"/>
    <cellStyle name="60 % - Accent4 8" xfId="478" xr:uid="{00000000-0005-0000-0000-0000DC010000}"/>
    <cellStyle name="60 % - Accent4 8 2" xfId="479" xr:uid="{00000000-0005-0000-0000-0000DD010000}"/>
    <cellStyle name="60 % - Accent4 9" xfId="480" xr:uid="{00000000-0005-0000-0000-0000DE010000}"/>
    <cellStyle name="60 % - Accent4 9 2" xfId="481" xr:uid="{00000000-0005-0000-0000-0000DF010000}"/>
    <cellStyle name="60 % - Accent5 10" xfId="482" xr:uid="{00000000-0005-0000-0000-0000E0010000}"/>
    <cellStyle name="60 % - Accent5 10 2" xfId="483" xr:uid="{00000000-0005-0000-0000-0000E1010000}"/>
    <cellStyle name="60 % - Accent5 11" xfId="484" xr:uid="{00000000-0005-0000-0000-0000E2010000}"/>
    <cellStyle name="60 % - Accent5 11 2" xfId="485" xr:uid="{00000000-0005-0000-0000-0000E3010000}"/>
    <cellStyle name="60 % - Accent5 12" xfId="486" xr:uid="{00000000-0005-0000-0000-0000E4010000}"/>
    <cellStyle name="60 % - Accent5 12 2" xfId="487" xr:uid="{00000000-0005-0000-0000-0000E5010000}"/>
    <cellStyle name="60 % - Accent5 13" xfId="488" xr:uid="{00000000-0005-0000-0000-0000E6010000}"/>
    <cellStyle name="60 % - Accent5 2" xfId="489" xr:uid="{00000000-0005-0000-0000-0000E7010000}"/>
    <cellStyle name="60 % - Accent5 2 2" xfId="490" xr:uid="{00000000-0005-0000-0000-0000E8010000}"/>
    <cellStyle name="60 % - Accent5 2 3" xfId="491" xr:uid="{00000000-0005-0000-0000-0000E9010000}"/>
    <cellStyle name="60 % - Accent5 3" xfId="492" xr:uid="{00000000-0005-0000-0000-0000EA010000}"/>
    <cellStyle name="60 % - Accent5 3 2" xfId="493" xr:uid="{00000000-0005-0000-0000-0000EB010000}"/>
    <cellStyle name="60 % - Accent5 4" xfId="494" xr:uid="{00000000-0005-0000-0000-0000EC010000}"/>
    <cellStyle name="60 % - Accent5 4 2" xfId="495" xr:uid="{00000000-0005-0000-0000-0000ED010000}"/>
    <cellStyle name="60 % - Accent5 5" xfId="496" xr:uid="{00000000-0005-0000-0000-0000EE010000}"/>
    <cellStyle name="60 % - Accent5 5 2" xfId="497" xr:uid="{00000000-0005-0000-0000-0000EF010000}"/>
    <cellStyle name="60 % - Accent5 6" xfId="498" xr:uid="{00000000-0005-0000-0000-0000F0010000}"/>
    <cellStyle name="60 % - Accent5 6 2" xfId="499" xr:uid="{00000000-0005-0000-0000-0000F1010000}"/>
    <cellStyle name="60 % - Accent5 7" xfId="500" xr:uid="{00000000-0005-0000-0000-0000F2010000}"/>
    <cellStyle name="60 % - Accent5 7 2" xfId="501" xr:uid="{00000000-0005-0000-0000-0000F3010000}"/>
    <cellStyle name="60 % - Accent5 8" xfId="502" xr:uid="{00000000-0005-0000-0000-0000F4010000}"/>
    <cellStyle name="60 % - Accent5 8 2" xfId="503" xr:uid="{00000000-0005-0000-0000-0000F5010000}"/>
    <cellStyle name="60 % - Accent5 9" xfId="504" xr:uid="{00000000-0005-0000-0000-0000F6010000}"/>
    <cellStyle name="60 % - Accent5 9 2" xfId="505" xr:uid="{00000000-0005-0000-0000-0000F7010000}"/>
    <cellStyle name="60 % - Accent6 10" xfId="506" xr:uid="{00000000-0005-0000-0000-0000F8010000}"/>
    <cellStyle name="60 % - Accent6 10 2" xfId="507" xr:uid="{00000000-0005-0000-0000-0000F9010000}"/>
    <cellStyle name="60 % - Accent6 11" xfId="508" xr:uid="{00000000-0005-0000-0000-0000FA010000}"/>
    <cellStyle name="60 % - Accent6 11 2" xfId="509" xr:uid="{00000000-0005-0000-0000-0000FB010000}"/>
    <cellStyle name="60 % - Accent6 12" xfId="510" xr:uid="{00000000-0005-0000-0000-0000FC010000}"/>
    <cellStyle name="60 % - Accent6 12 2" xfId="511" xr:uid="{00000000-0005-0000-0000-0000FD010000}"/>
    <cellStyle name="60 % - Accent6 13" xfId="512" xr:uid="{00000000-0005-0000-0000-0000FE010000}"/>
    <cellStyle name="60 % - Accent6 2" xfId="513" xr:uid="{00000000-0005-0000-0000-0000FF010000}"/>
    <cellStyle name="60 % - Accent6 2 2" xfId="514" xr:uid="{00000000-0005-0000-0000-000000020000}"/>
    <cellStyle name="60 % - Accent6 2 3" xfId="515" xr:uid="{00000000-0005-0000-0000-000001020000}"/>
    <cellStyle name="60 % - Accent6 3" xfId="516" xr:uid="{00000000-0005-0000-0000-000002020000}"/>
    <cellStyle name="60 % - Accent6 3 2" xfId="517" xr:uid="{00000000-0005-0000-0000-000003020000}"/>
    <cellStyle name="60 % - Accent6 4" xfId="518" xr:uid="{00000000-0005-0000-0000-000004020000}"/>
    <cellStyle name="60 % - Accent6 4 2" xfId="519" xr:uid="{00000000-0005-0000-0000-000005020000}"/>
    <cellStyle name="60 % - Accent6 5" xfId="520" xr:uid="{00000000-0005-0000-0000-000006020000}"/>
    <cellStyle name="60 % - Accent6 5 2" xfId="521" xr:uid="{00000000-0005-0000-0000-000007020000}"/>
    <cellStyle name="60 % - Accent6 6" xfId="522" xr:uid="{00000000-0005-0000-0000-000008020000}"/>
    <cellStyle name="60 % - Accent6 6 2" xfId="523" xr:uid="{00000000-0005-0000-0000-000009020000}"/>
    <cellStyle name="60 % - Accent6 7" xfId="524" xr:uid="{00000000-0005-0000-0000-00000A020000}"/>
    <cellStyle name="60 % - Accent6 7 2" xfId="525" xr:uid="{00000000-0005-0000-0000-00000B020000}"/>
    <cellStyle name="60 % - Accent6 8" xfId="526" xr:uid="{00000000-0005-0000-0000-00000C020000}"/>
    <cellStyle name="60 % - Accent6 8 2" xfId="527" xr:uid="{00000000-0005-0000-0000-00000D020000}"/>
    <cellStyle name="60 % - Accent6 9" xfId="528" xr:uid="{00000000-0005-0000-0000-00000E020000}"/>
    <cellStyle name="60 % - Accent6 9 2" xfId="529" xr:uid="{00000000-0005-0000-0000-00000F020000}"/>
    <cellStyle name="Accent1 10" xfId="530" xr:uid="{00000000-0005-0000-0000-000010020000}"/>
    <cellStyle name="Accent1 10 2" xfId="531" xr:uid="{00000000-0005-0000-0000-000011020000}"/>
    <cellStyle name="Accent1 11" xfId="532" xr:uid="{00000000-0005-0000-0000-000012020000}"/>
    <cellStyle name="Accent1 11 2" xfId="533" xr:uid="{00000000-0005-0000-0000-000013020000}"/>
    <cellStyle name="Accent1 12" xfId="534" xr:uid="{00000000-0005-0000-0000-000014020000}"/>
    <cellStyle name="Accent1 12 2" xfId="535" xr:uid="{00000000-0005-0000-0000-000015020000}"/>
    <cellStyle name="Accent1 13" xfId="536" xr:uid="{00000000-0005-0000-0000-000016020000}"/>
    <cellStyle name="Accent1 2" xfId="537" xr:uid="{00000000-0005-0000-0000-000017020000}"/>
    <cellStyle name="Accent1 2 2" xfId="538" xr:uid="{00000000-0005-0000-0000-000018020000}"/>
    <cellStyle name="Accent1 2 3" xfId="539" xr:uid="{00000000-0005-0000-0000-000019020000}"/>
    <cellStyle name="Accent1 3" xfId="540" xr:uid="{00000000-0005-0000-0000-00001A020000}"/>
    <cellStyle name="Accent1 3 2" xfId="541" xr:uid="{00000000-0005-0000-0000-00001B020000}"/>
    <cellStyle name="Accent1 4" xfId="542" xr:uid="{00000000-0005-0000-0000-00001C020000}"/>
    <cellStyle name="Accent1 4 2" xfId="543" xr:uid="{00000000-0005-0000-0000-00001D020000}"/>
    <cellStyle name="Accent1 5" xfId="544" xr:uid="{00000000-0005-0000-0000-00001E020000}"/>
    <cellStyle name="Accent1 5 2" xfId="545" xr:uid="{00000000-0005-0000-0000-00001F020000}"/>
    <cellStyle name="Accent1 6" xfId="546" xr:uid="{00000000-0005-0000-0000-000020020000}"/>
    <cellStyle name="Accent1 6 2" xfId="547" xr:uid="{00000000-0005-0000-0000-000021020000}"/>
    <cellStyle name="Accent1 7" xfId="548" xr:uid="{00000000-0005-0000-0000-000022020000}"/>
    <cellStyle name="Accent1 7 2" xfId="549" xr:uid="{00000000-0005-0000-0000-000023020000}"/>
    <cellStyle name="Accent1 8" xfId="550" xr:uid="{00000000-0005-0000-0000-000024020000}"/>
    <cellStyle name="Accent1 8 2" xfId="551" xr:uid="{00000000-0005-0000-0000-000025020000}"/>
    <cellStyle name="Accent1 9" xfId="552" xr:uid="{00000000-0005-0000-0000-000026020000}"/>
    <cellStyle name="Accent1 9 2" xfId="553" xr:uid="{00000000-0005-0000-0000-000027020000}"/>
    <cellStyle name="Accent2 10" xfId="554" xr:uid="{00000000-0005-0000-0000-000028020000}"/>
    <cellStyle name="Accent2 10 2" xfId="555" xr:uid="{00000000-0005-0000-0000-000029020000}"/>
    <cellStyle name="Accent2 11" xfId="556" xr:uid="{00000000-0005-0000-0000-00002A020000}"/>
    <cellStyle name="Accent2 11 2" xfId="557" xr:uid="{00000000-0005-0000-0000-00002B020000}"/>
    <cellStyle name="Accent2 12" xfId="558" xr:uid="{00000000-0005-0000-0000-00002C020000}"/>
    <cellStyle name="Accent2 12 2" xfId="559" xr:uid="{00000000-0005-0000-0000-00002D020000}"/>
    <cellStyle name="Accent2 13" xfId="560" xr:uid="{00000000-0005-0000-0000-00002E020000}"/>
    <cellStyle name="Accent2 2" xfId="561" xr:uid="{00000000-0005-0000-0000-00002F020000}"/>
    <cellStyle name="Accent2 2 2" xfId="562" xr:uid="{00000000-0005-0000-0000-000030020000}"/>
    <cellStyle name="Accent2 2 3" xfId="563" xr:uid="{00000000-0005-0000-0000-000031020000}"/>
    <cellStyle name="Accent2 3" xfId="564" xr:uid="{00000000-0005-0000-0000-000032020000}"/>
    <cellStyle name="Accent2 3 2" xfId="565" xr:uid="{00000000-0005-0000-0000-000033020000}"/>
    <cellStyle name="Accent2 4" xfId="566" xr:uid="{00000000-0005-0000-0000-000034020000}"/>
    <cellStyle name="Accent2 4 2" xfId="567" xr:uid="{00000000-0005-0000-0000-000035020000}"/>
    <cellStyle name="Accent2 5" xfId="568" xr:uid="{00000000-0005-0000-0000-000036020000}"/>
    <cellStyle name="Accent2 5 2" xfId="569" xr:uid="{00000000-0005-0000-0000-000037020000}"/>
    <cellStyle name="Accent2 6" xfId="570" xr:uid="{00000000-0005-0000-0000-000038020000}"/>
    <cellStyle name="Accent2 6 2" xfId="571" xr:uid="{00000000-0005-0000-0000-000039020000}"/>
    <cellStyle name="Accent2 7" xfId="572" xr:uid="{00000000-0005-0000-0000-00003A020000}"/>
    <cellStyle name="Accent2 7 2" xfId="573" xr:uid="{00000000-0005-0000-0000-00003B020000}"/>
    <cellStyle name="Accent2 8" xfId="574" xr:uid="{00000000-0005-0000-0000-00003C020000}"/>
    <cellStyle name="Accent2 8 2" xfId="575" xr:uid="{00000000-0005-0000-0000-00003D020000}"/>
    <cellStyle name="Accent2 9" xfId="576" xr:uid="{00000000-0005-0000-0000-00003E020000}"/>
    <cellStyle name="Accent2 9 2" xfId="577" xr:uid="{00000000-0005-0000-0000-00003F020000}"/>
    <cellStyle name="Accent3 10" xfId="578" xr:uid="{00000000-0005-0000-0000-000040020000}"/>
    <cellStyle name="Accent3 10 2" xfId="579" xr:uid="{00000000-0005-0000-0000-000041020000}"/>
    <cellStyle name="Accent3 11" xfId="580" xr:uid="{00000000-0005-0000-0000-000042020000}"/>
    <cellStyle name="Accent3 11 2" xfId="581" xr:uid="{00000000-0005-0000-0000-000043020000}"/>
    <cellStyle name="Accent3 12" xfId="582" xr:uid="{00000000-0005-0000-0000-000044020000}"/>
    <cellStyle name="Accent3 12 2" xfId="583" xr:uid="{00000000-0005-0000-0000-000045020000}"/>
    <cellStyle name="Accent3 13" xfId="584" xr:uid="{00000000-0005-0000-0000-000046020000}"/>
    <cellStyle name="Accent3 2" xfId="585" xr:uid="{00000000-0005-0000-0000-000047020000}"/>
    <cellStyle name="Accent3 2 2" xfId="586" xr:uid="{00000000-0005-0000-0000-000048020000}"/>
    <cellStyle name="Accent3 2 3" xfId="587" xr:uid="{00000000-0005-0000-0000-000049020000}"/>
    <cellStyle name="Accent3 3" xfId="588" xr:uid="{00000000-0005-0000-0000-00004A020000}"/>
    <cellStyle name="Accent3 3 2" xfId="589" xr:uid="{00000000-0005-0000-0000-00004B020000}"/>
    <cellStyle name="Accent3 4" xfId="590" xr:uid="{00000000-0005-0000-0000-00004C020000}"/>
    <cellStyle name="Accent3 4 2" xfId="591" xr:uid="{00000000-0005-0000-0000-00004D020000}"/>
    <cellStyle name="Accent3 5" xfId="592" xr:uid="{00000000-0005-0000-0000-00004E020000}"/>
    <cellStyle name="Accent3 5 2" xfId="593" xr:uid="{00000000-0005-0000-0000-00004F020000}"/>
    <cellStyle name="Accent3 6" xfId="594" xr:uid="{00000000-0005-0000-0000-000050020000}"/>
    <cellStyle name="Accent3 6 2" xfId="595" xr:uid="{00000000-0005-0000-0000-000051020000}"/>
    <cellStyle name="Accent3 7" xfId="596" xr:uid="{00000000-0005-0000-0000-000052020000}"/>
    <cellStyle name="Accent3 7 2" xfId="597" xr:uid="{00000000-0005-0000-0000-000053020000}"/>
    <cellStyle name="Accent3 8" xfId="598" xr:uid="{00000000-0005-0000-0000-000054020000}"/>
    <cellStyle name="Accent3 8 2" xfId="599" xr:uid="{00000000-0005-0000-0000-000055020000}"/>
    <cellStyle name="Accent3 9" xfId="600" xr:uid="{00000000-0005-0000-0000-000056020000}"/>
    <cellStyle name="Accent3 9 2" xfId="601" xr:uid="{00000000-0005-0000-0000-000057020000}"/>
    <cellStyle name="Accent4 10" xfId="602" xr:uid="{00000000-0005-0000-0000-000058020000}"/>
    <cellStyle name="Accent4 10 2" xfId="603" xr:uid="{00000000-0005-0000-0000-000059020000}"/>
    <cellStyle name="Accent4 11" xfId="604" xr:uid="{00000000-0005-0000-0000-00005A020000}"/>
    <cellStyle name="Accent4 11 2" xfId="605" xr:uid="{00000000-0005-0000-0000-00005B020000}"/>
    <cellStyle name="Accent4 12" xfId="606" xr:uid="{00000000-0005-0000-0000-00005C020000}"/>
    <cellStyle name="Accent4 12 2" xfId="607" xr:uid="{00000000-0005-0000-0000-00005D020000}"/>
    <cellStyle name="Accent4 13" xfId="608" xr:uid="{00000000-0005-0000-0000-00005E020000}"/>
    <cellStyle name="Accent4 2" xfId="609" xr:uid="{00000000-0005-0000-0000-00005F020000}"/>
    <cellStyle name="Accent4 2 2" xfId="610" xr:uid="{00000000-0005-0000-0000-000060020000}"/>
    <cellStyle name="Accent4 2 3" xfId="611" xr:uid="{00000000-0005-0000-0000-000061020000}"/>
    <cellStyle name="Accent4 3" xfId="612" xr:uid="{00000000-0005-0000-0000-000062020000}"/>
    <cellStyle name="Accent4 3 2" xfId="613" xr:uid="{00000000-0005-0000-0000-000063020000}"/>
    <cellStyle name="Accent4 4" xfId="614" xr:uid="{00000000-0005-0000-0000-000064020000}"/>
    <cellStyle name="Accent4 4 2" xfId="615" xr:uid="{00000000-0005-0000-0000-000065020000}"/>
    <cellStyle name="Accent4 5" xfId="616" xr:uid="{00000000-0005-0000-0000-000066020000}"/>
    <cellStyle name="Accent4 5 2" xfId="617" xr:uid="{00000000-0005-0000-0000-000067020000}"/>
    <cellStyle name="Accent4 6" xfId="618" xr:uid="{00000000-0005-0000-0000-000068020000}"/>
    <cellStyle name="Accent4 6 2" xfId="619" xr:uid="{00000000-0005-0000-0000-000069020000}"/>
    <cellStyle name="Accent4 7" xfId="620" xr:uid="{00000000-0005-0000-0000-00006A020000}"/>
    <cellStyle name="Accent4 7 2" xfId="621" xr:uid="{00000000-0005-0000-0000-00006B020000}"/>
    <cellStyle name="Accent4 8" xfId="622" xr:uid="{00000000-0005-0000-0000-00006C020000}"/>
    <cellStyle name="Accent4 8 2" xfId="623" xr:uid="{00000000-0005-0000-0000-00006D020000}"/>
    <cellStyle name="Accent4 9" xfId="624" xr:uid="{00000000-0005-0000-0000-00006E020000}"/>
    <cellStyle name="Accent4 9 2" xfId="625" xr:uid="{00000000-0005-0000-0000-00006F020000}"/>
    <cellStyle name="Accent5 10" xfId="626" xr:uid="{00000000-0005-0000-0000-000070020000}"/>
    <cellStyle name="Accent5 10 2" xfId="627" xr:uid="{00000000-0005-0000-0000-000071020000}"/>
    <cellStyle name="Accent5 11" xfId="628" xr:uid="{00000000-0005-0000-0000-000072020000}"/>
    <cellStyle name="Accent5 11 2" xfId="629" xr:uid="{00000000-0005-0000-0000-000073020000}"/>
    <cellStyle name="Accent5 12" xfId="630" xr:uid="{00000000-0005-0000-0000-000074020000}"/>
    <cellStyle name="Accent5 12 2" xfId="631" xr:uid="{00000000-0005-0000-0000-000075020000}"/>
    <cellStyle name="Accent5 13" xfId="632" xr:uid="{00000000-0005-0000-0000-000076020000}"/>
    <cellStyle name="Accent5 2" xfId="633" xr:uid="{00000000-0005-0000-0000-000077020000}"/>
    <cellStyle name="Accent5 2 2" xfId="634" xr:uid="{00000000-0005-0000-0000-000078020000}"/>
    <cellStyle name="Accent5 2 3" xfId="635" xr:uid="{00000000-0005-0000-0000-000079020000}"/>
    <cellStyle name="Accent5 3" xfId="636" xr:uid="{00000000-0005-0000-0000-00007A020000}"/>
    <cellStyle name="Accent5 3 2" xfId="637" xr:uid="{00000000-0005-0000-0000-00007B020000}"/>
    <cellStyle name="Accent5 4" xfId="638" xr:uid="{00000000-0005-0000-0000-00007C020000}"/>
    <cellStyle name="Accent5 4 2" xfId="639" xr:uid="{00000000-0005-0000-0000-00007D020000}"/>
    <cellStyle name="Accent5 5" xfId="640" xr:uid="{00000000-0005-0000-0000-00007E020000}"/>
    <cellStyle name="Accent5 5 2" xfId="641" xr:uid="{00000000-0005-0000-0000-00007F020000}"/>
    <cellStyle name="Accent5 6" xfId="642" xr:uid="{00000000-0005-0000-0000-000080020000}"/>
    <cellStyle name="Accent5 6 2" xfId="643" xr:uid="{00000000-0005-0000-0000-000081020000}"/>
    <cellStyle name="Accent5 7" xfId="644" xr:uid="{00000000-0005-0000-0000-000082020000}"/>
    <cellStyle name="Accent5 7 2" xfId="645" xr:uid="{00000000-0005-0000-0000-000083020000}"/>
    <cellStyle name="Accent5 8" xfId="646" xr:uid="{00000000-0005-0000-0000-000084020000}"/>
    <cellStyle name="Accent5 8 2" xfId="647" xr:uid="{00000000-0005-0000-0000-000085020000}"/>
    <cellStyle name="Accent5 9" xfId="648" xr:uid="{00000000-0005-0000-0000-000086020000}"/>
    <cellStyle name="Accent5 9 2" xfId="649" xr:uid="{00000000-0005-0000-0000-000087020000}"/>
    <cellStyle name="Accent6 10" xfId="650" xr:uid="{00000000-0005-0000-0000-000088020000}"/>
    <cellStyle name="Accent6 10 2" xfId="651" xr:uid="{00000000-0005-0000-0000-000089020000}"/>
    <cellStyle name="Accent6 11" xfId="652" xr:uid="{00000000-0005-0000-0000-00008A020000}"/>
    <cellStyle name="Accent6 11 2" xfId="653" xr:uid="{00000000-0005-0000-0000-00008B020000}"/>
    <cellStyle name="Accent6 12" xfId="654" xr:uid="{00000000-0005-0000-0000-00008C020000}"/>
    <cellStyle name="Accent6 12 2" xfId="655" xr:uid="{00000000-0005-0000-0000-00008D020000}"/>
    <cellStyle name="Accent6 13" xfId="656" xr:uid="{00000000-0005-0000-0000-00008E020000}"/>
    <cellStyle name="Accent6 2" xfId="657" xr:uid="{00000000-0005-0000-0000-00008F020000}"/>
    <cellStyle name="Accent6 2 2" xfId="658" xr:uid="{00000000-0005-0000-0000-000090020000}"/>
    <cellStyle name="Accent6 2 3" xfId="659" xr:uid="{00000000-0005-0000-0000-000091020000}"/>
    <cellStyle name="Accent6 3" xfId="660" xr:uid="{00000000-0005-0000-0000-000092020000}"/>
    <cellStyle name="Accent6 3 2" xfId="661" xr:uid="{00000000-0005-0000-0000-000093020000}"/>
    <cellStyle name="Accent6 4" xfId="662" xr:uid="{00000000-0005-0000-0000-000094020000}"/>
    <cellStyle name="Accent6 4 2" xfId="663" xr:uid="{00000000-0005-0000-0000-000095020000}"/>
    <cellStyle name="Accent6 5" xfId="664" xr:uid="{00000000-0005-0000-0000-000096020000}"/>
    <cellStyle name="Accent6 5 2" xfId="665" xr:uid="{00000000-0005-0000-0000-000097020000}"/>
    <cellStyle name="Accent6 6" xfId="666" xr:uid="{00000000-0005-0000-0000-000098020000}"/>
    <cellStyle name="Accent6 6 2" xfId="667" xr:uid="{00000000-0005-0000-0000-000099020000}"/>
    <cellStyle name="Accent6 7" xfId="668" xr:uid="{00000000-0005-0000-0000-00009A020000}"/>
    <cellStyle name="Accent6 7 2" xfId="669" xr:uid="{00000000-0005-0000-0000-00009B020000}"/>
    <cellStyle name="Accent6 8" xfId="670" xr:uid="{00000000-0005-0000-0000-00009C020000}"/>
    <cellStyle name="Accent6 8 2" xfId="671" xr:uid="{00000000-0005-0000-0000-00009D020000}"/>
    <cellStyle name="Accent6 9" xfId="672" xr:uid="{00000000-0005-0000-0000-00009E020000}"/>
    <cellStyle name="Accent6 9 2" xfId="673" xr:uid="{00000000-0005-0000-0000-00009F020000}"/>
    <cellStyle name="Avertissement 10" xfId="674" xr:uid="{00000000-0005-0000-0000-0000A0020000}"/>
    <cellStyle name="Avertissement 10 2" xfId="675" xr:uid="{00000000-0005-0000-0000-0000A1020000}"/>
    <cellStyle name="Avertissement 11" xfId="676" xr:uid="{00000000-0005-0000-0000-0000A2020000}"/>
    <cellStyle name="Avertissement 11 2" xfId="677" xr:uid="{00000000-0005-0000-0000-0000A3020000}"/>
    <cellStyle name="Avertissement 12" xfId="678" xr:uid="{00000000-0005-0000-0000-0000A4020000}"/>
    <cellStyle name="Avertissement 12 2" xfId="679" xr:uid="{00000000-0005-0000-0000-0000A5020000}"/>
    <cellStyle name="Avertissement 13" xfId="680" xr:uid="{00000000-0005-0000-0000-0000A6020000}"/>
    <cellStyle name="Avertissement 2" xfId="681" xr:uid="{00000000-0005-0000-0000-0000A7020000}"/>
    <cellStyle name="Avertissement 2 2" xfId="682" xr:uid="{00000000-0005-0000-0000-0000A8020000}"/>
    <cellStyle name="Avertissement 2 3" xfId="683" xr:uid="{00000000-0005-0000-0000-0000A9020000}"/>
    <cellStyle name="Avertissement 3" xfId="684" xr:uid="{00000000-0005-0000-0000-0000AA020000}"/>
    <cellStyle name="Avertissement 3 2" xfId="685" xr:uid="{00000000-0005-0000-0000-0000AB020000}"/>
    <cellStyle name="Avertissement 4" xfId="686" xr:uid="{00000000-0005-0000-0000-0000AC020000}"/>
    <cellStyle name="Avertissement 4 2" xfId="687" xr:uid="{00000000-0005-0000-0000-0000AD020000}"/>
    <cellStyle name="Avertissement 5" xfId="688" xr:uid="{00000000-0005-0000-0000-0000AE020000}"/>
    <cellStyle name="Avertissement 5 2" xfId="689" xr:uid="{00000000-0005-0000-0000-0000AF020000}"/>
    <cellStyle name="Avertissement 6" xfId="690" xr:uid="{00000000-0005-0000-0000-0000B0020000}"/>
    <cellStyle name="Avertissement 6 2" xfId="691" xr:uid="{00000000-0005-0000-0000-0000B1020000}"/>
    <cellStyle name="Avertissement 7" xfId="692" xr:uid="{00000000-0005-0000-0000-0000B2020000}"/>
    <cellStyle name="Avertissement 7 2" xfId="693" xr:uid="{00000000-0005-0000-0000-0000B3020000}"/>
    <cellStyle name="Avertissement 8" xfId="694" xr:uid="{00000000-0005-0000-0000-0000B4020000}"/>
    <cellStyle name="Avertissement 8 2" xfId="695" xr:uid="{00000000-0005-0000-0000-0000B5020000}"/>
    <cellStyle name="Avertissement 9" xfId="696" xr:uid="{00000000-0005-0000-0000-0000B6020000}"/>
    <cellStyle name="Avertissement 9 2" xfId="697" xr:uid="{00000000-0005-0000-0000-0000B7020000}"/>
    <cellStyle name="Calcul 10" xfId="698" xr:uid="{00000000-0005-0000-0000-0000B8020000}"/>
    <cellStyle name="Calcul 10 2" xfId="699" xr:uid="{00000000-0005-0000-0000-0000B9020000}"/>
    <cellStyle name="Calcul 11" xfId="700" xr:uid="{00000000-0005-0000-0000-0000BA020000}"/>
    <cellStyle name="Calcul 11 2" xfId="701" xr:uid="{00000000-0005-0000-0000-0000BB020000}"/>
    <cellStyle name="Calcul 12" xfId="702" xr:uid="{00000000-0005-0000-0000-0000BC020000}"/>
    <cellStyle name="Calcul 12 2" xfId="703" xr:uid="{00000000-0005-0000-0000-0000BD020000}"/>
    <cellStyle name="Calcul 13" xfId="704" xr:uid="{00000000-0005-0000-0000-0000BE020000}"/>
    <cellStyle name="Calcul 2" xfId="705" xr:uid="{00000000-0005-0000-0000-0000BF020000}"/>
    <cellStyle name="Calcul 2 10" xfId="706" xr:uid="{00000000-0005-0000-0000-0000C0020000}"/>
    <cellStyle name="Calcul 2 10 2" xfId="707" xr:uid="{00000000-0005-0000-0000-0000C1020000}"/>
    <cellStyle name="Calcul 2 10 2 2" xfId="708" xr:uid="{00000000-0005-0000-0000-0000C2020000}"/>
    <cellStyle name="Calcul 2 10 3" xfId="709" xr:uid="{00000000-0005-0000-0000-0000C3020000}"/>
    <cellStyle name="Calcul 2 11" xfId="710" xr:uid="{00000000-0005-0000-0000-0000C4020000}"/>
    <cellStyle name="Calcul 2 11 2" xfId="711" xr:uid="{00000000-0005-0000-0000-0000C5020000}"/>
    <cellStyle name="Calcul 2 2" xfId="712" xr:uid="{00000000-0005-0000-0000-0000C6020000}"/>
    <cellStyle name="Calcul 2 2 2" xfId="713" xr:uid="{00000000-0005-0000-0000-0000C7020000}"/>
    <cellStyle name="Calcul 2 2 2 2" xfId="714" xr:uid="{00000000-0005-0000-0000-0000C8020000}"/>
    <cellStyle name="Calcul 2 2 2 2 2" xfId="715" xr:uid="{00000000-0005-0000-0000-0000C9020000}"/>
    <cellStyle name="Calcul 2 2 2 3" xfId="716" xr:uid="{00000000-0005-0000-0000-0000CA020000}"/>
    <cellStyle name="Calcul 2 2 3" xfId="717" xr:uid="{00000000-0005-0000-0000-0000CB020000}"/>
    <cellStyle name="Calcul 2 2 3 2" xfId="718" xr:uid="{00000000-0005-0000-0000-0000CC020000}"/>
    <cellStyle name="Calcul 2 2 3 2 2" xfId="719" xr:uid="{00000000-0005-0000-0000-0000CD020000}"/>
    <cellStyle name="Calcul 2 2 3 3" xfId="720" xr:uid="{00000000-0005-0000-0000-0000CE020000}"/>
    <cellStyle name="Calcul 2 2 4" xfId="721" xr:uid="{00000000-0005-0000-0000-0000CF020000}"/>
    <cellStyle name="Calcul 2 2 4 2" xfId="722" xr:uid="{00000000-0005-0000-0000-0000D0020000}"/>
    <cellStyle name="Calcul 2 3" xfId="723" xr:uid="{00000000-0005-0000-0000-0000D1020000}"/>
    <cellStyle name="Calcul 2 3 2" xfId="724" xr:uid="{00000000-0005-0000-0000-0000D2020000}"/>
    <cellStyle name="Calcul 2 3 2 2" xfId="725" xr:uid="{00000000-0005-0000-0000-0000D3020000}"/>
    <cellStyle name="Calcul 2 3 2 2 2" xfId="726" xr:uid="{00000000-0005-0000-0000-0000D4020000}"/>
    <cellStyle name="Calcul 2 3 2 3" xfId="727" xr:uid="{00000000-0005-0000-0000-0000D5020000}"/>
    <cellStyle name="Calcul 2 3 3" xfId="728" xr:uid="{00000000-0005-0000-0000-0000D6020000}"/>
    <cellStyle name="Calcul 2 3 3 2" xfId="729" xr:uid="{00000000-0005-0000-0000-0000D7020000}"/>
    <cellStyle name="Calcul 2 3 3 2 2" xfId="730" xr:uid="{00000000-0005-0000-0000-0000D8020000}"/>
    <cellStyle name="Calcul 2 3 3 3" xfId="731" xr:uid="{00000000-0005-0000-0000-0000D9020000}"/>
    <cellStyle name="Calcul 2 3 4" xfId="732" xr:uid="{00000000-0005-0000-0000-0000DA020000}"/>
    <cellStyle name="Calcul 2 3 4 2" xfId="733" xr:uid="{00000000-0005-0000-0000-0000DB020000}"/>
    <cellStyle name="Calcul 2 4" xfId="734" xr:uid="{00000000-0005-0000-0000-0000DC020000}"/>
    <cellStyle name="Calcul 2 4 2" xfId="735" xr:uid="{00000000-0005-0000-0000-0000DD020000}"/>
    <cellStyle name="Calcul 2 4 2 2" xfId="736" xr:uid="{00000000-0005-0000-0000-0000DE020000}"/>
    <cellStyle name="Calcul 2 4 2 2 2" xfId="737" xr:uid="{00000000-0005-0000-0000-0000DF020000}"/>
    <cellStyle name="Calcul 2 4 2 3" xfId="738" xr:uid="{00000000-0005-0000-0000-0000E0020000}"/>
    <cellStyle name="Calcul 2 4 3" xfId="739" xr:uid="{00000000-0005-0000-0000-0000E1020000}"/>
    <cellStyle name="Calcul 2 4 3 2" xfId="740" xr:uid="{00000000-0005-0000-0000-0000E2020000}"/>
    <cellStyle name="Calcul 2 4 3 2 2" xfId="741" xr:uid="{00000000-0005-0000-0000-0000E3020000}"/>
    <cellStyle name="Calcul 2 4 3 3" xfId="742" xr:uid="{00000000-0005-0000-0000-0000E4020000}"/>
    <cellStyle name="Calcul 2 4 4" xfId="743" xr:uid="{00000000-0005-0000-0000-0000E5020000}"/>
    <cellStyle name="Calcul 2 4 4 2" xfId="744" xr:uid="{00000000-0005-0000-0000-0000E6020000}"/>
    <cellStyle name="Calcul 2 5" xfId="745" xr:uid="{00000000-0005-0000-0000-0000E7020000}"/>
    <cellStyle name="Calcul 2 5 2" xfId="746" xr:uid="{00000000-0005-0000-0000-0000E8020000}"/>
    <cellStyle name="Calcul 2 5 2 2" xfId="747" xr:uid="{00000000-0005-0000-0000-0000E9020000}"/>
    <cellStyle name="Calcul 2 5 2 2 2" xfId="748" xr:uid="{00000000-0005-0000-0000-0000EA020000}"/>
    <cellStyle name="Calcul 2 5 2 3" xfId="749" xr:uid="{00000000-0005-0000-0000-0000EB020000}"/>
    <cellStyle name="Calcul 2 5 3" xfId="750" xr:uid="{00000000-0005-0000-0000-0000EC020000}"/>
    <cellStyle name="Calcul 2 5 3 2" xfId="751" xr:uid="{00000000-0005-0000-0000-0000ED020000}"/>
    <cellStyle name="Calcul 2 5 3 2 2" xfId="752" xr:uid="{00000000-0005-0000-0000-0000EE020000}"/>
    <cellStyle name="Calcul 2 5 3 3" xfId="753" xr:uid="{00000000-0005-0000-0000-0000EF020000}"/>
    <cellStyle name="Calcul 2 5 4" xfId="754" xr:uid="{00000000-0005-0000-0000-0000F0020000}"/>
    <cellStyle name="Calcul 2 5 4 2" xfId="755" xr:uid="{00000000-0005-0000-0000-0000F1020000}"/>
    <cellStyle name="Calcul 2 6" xfId="756" xr:uid="{00000000-0005-0000-0000-0000F2020000}"/>
    <cellStyle name="Calcul 2 6 2" xfId="757" xr:uid="{00000000-0005-0000-0000-0000F3020000}"/>
    <cellStyle name="Calcul 2 6 2 2" xfId="758" xr:uid="{00000000-0005-0000-0000-0000F4020000}"/>
    <cellStyle name="Calcul 2 6 2 2 2" xfId="759" xr:uid="{00000000-0005-0000-0000-0000F5020000}"/>
    <cellStyle name="Calcul 2 6 2 3" xfId="760" xr:uid="{00000000-0005-0000-0000-0000F6020000}"/>
    <cellStyle name="Calcul 2 6 3" xfId="761" xr:uid="{00000000-0005-0000-0000-0000F7020000}"/>
    <cellStyle name="Calcul 2 6 3 2" xfId="762" xr:uid="{00000000-0005-0000-0000-0000F8020000}"/>
    <cellStyle name="Calcul 2 6 3 2 2" xfId="763" xr:uid="{00000000-0005-0000-0000-0000F9020000}"/>
    <cellStyle name="Calcul 2 6 3 3" xfId="764" xr:uid="{00000000-0005-0000-0000-0000FA020000}"/>
    <cellStyle name="Calcul 2 6 4" xfId="765" xr:uid="{00000000-0005-0000-0000-0000FB020000}"/>
    <cellStyle name="Calcul 2 6 4 2" xfId="766" xr:uid="{00000000-0005-0000-0000-0000FC020000}"/>
    <cellStyle name="Calcul 2 7" xfId="767" xr:uid="{00000000-0005-0000-0000-0000FD020000}"/>
    <cellStyle name="Calcul 2 7 2" xfId="768" xr:uid="{00000000-0005-0000-0000-0000FE020000}"/>
    <cellStyle name="Calcul 2 7 2 2" xfId="769" xr:uid="{00000000-0005-0000-0000-0000FF020000}"/>
    <cellStyle name="Calcul 2 7 2 2 2" xfId="770" xr:uid="{00000000-0005-0000-0000-000000030000}"/>
    <cellStyle name="Calcul 2 7 2 3" xfId="771" xr:uid="{00000000-0005-0000-0000-000001030000}"/>
    <cellStyle name="Calcul 2 7 3" xfId="772" xr:uid="{00000000-0005-0000-0000-000002030000}"/>
    <cellStyle name="Calcul 2 7 3 2" xfId="773" xr:uid="{00000000-0005-0000-0000-000003030000}"/>
    <cellStyle name="Calcul 2 7 3 2 2" xfId="774" xr:uid="{00000000-0005-0000-0000-000004030000}"/>
    <cellStyle name="Calcul 2 7 3 3" xfId="775" xr:uid="{00000000-0005-0000-0000-000005030000}"/>
    <cellStyle name="Calcul 2 7 4" xfId="776" xr:uid="{00000000-0005-0000-0000-000006030000}"/>
    <cellStyle name="Calcul 2 7 4 2" xfId="777" xr:uid="{00000000-0005-0000-0000-000007030000}"/>
    <cellStyle name="Calcul 2 8" xfId="778" xr:uid="{00000000-0005-0000-0000-000008030000}"/>
    <cellStyle name="Calcul 2 8 2" xfId="779" xr:uid="{00000000-0005-0000-0000-000009030000}"/>
    <cellStyle name="Calcul 2 8 2 2" xfId="780" xr:uid="{00000000-0005-0000-0000-00000A030000}"/>
    <cellStyle name="Calcul 2 8 2 2 2" xfId="781" xr:uid="{00000000-0005-0000-0000-00000B030000}"/>
    <cellStyle name="Calcul 2 8 2 3" xfId="782" xr:uid="{00000000-0005-0000-0000-00000C030000}"/>
    <cellStyle name="Calcul 2 8 3" xfId="783" xr:uid="{00000000-0005-0000-0000-00000D030000}"/>
    <cellStyle name="Calcul 2 8 3 2" xfId="784" xr:uid="{00000000-0005-0000-0000-00000E030000}"/>
    <cellStyle name="Calcul 2 8 3 2 2" xfId="785" xr:uid="{00000000-0005-0000-0000-00000F030000}"/>
    <cellStyle name="Calcul 2 8 3 3" xfId="786" xr:uid="{00000000-0005-0000-0000-000010030000}"/>
    <cellStyle name="Calcul 2 8 4" xfId="787" xr:uid="{00000000-0005-0000-0000-000011030000}"/>
    <cellStyle name="Calcul 2 8 4 2" xfId="788" xr:uid="{00000000-0005-0000-0000-000012030000}"/>
    <cellStyle name="Calcul 2 9" xfId="789" xr:uid="{00000000-0005-0000-0000-000013030000}"/>
    <cellStyle name="Calcul 2 9 2" xfId="790" xr:uid="{00000000-0005-0000-0000-000014030000}"/>
    <cellStyle name="Calcul 2 9 2 2" xfId="791" xr:uid="{00000000-0005-0000-0000-000015030000}"/>
    <cellStyle name="Calcul 2 9 3" xfId="792" xr:uid="{00000000-0005-0000-0000-000016030000}"/>
    <cellStyle name="Calcul 3" xfId="793" xr:uid="{00000000-0005-0000-0000-000017030000}"/>
    <cellStyle name="Calcul 3 2" xfId="794" xr:uid="{00000000-0005-0000-0000-000018030000}"/>
    <cellStyle name="Calcul 4" xfId="795" xr:uid="{00000000-0005-0000-0000-000019030000}"/>
    <cellStyle name="Calcul 4 2" xfId="796" xr:uid="{00000000-0005-0000-0000-00001A030000}"/>
    <cellStyle name="Calcul 5" xfId="797" xr:uid="{00000000-0005-0000-0000-00001B030000}"/>
    <cellStyle name="Calcul 5 2" xfId="798" xr:uid="{00000000-0005-0000-0000-00001C030000}"/>
    <cellStyle name="Calcul 6" xfId="799" xr:uid="{00000000-0005-0000-0000-00001D030000}"/>
    <cellStyle name="Calcul 6 2" xfId="800" xr:uid="{00000000-0005-0000-0000-00001E030000}"/>
    <cellStyle name="Calcul 7" xfId="801" xr:uid="{00000000-0005-0000-0000-00001F030000}"/>
    <cellStyle name="Calcul 7 2" xfId="802" xr:uid="{00000000-0005-0000-0000-000020030000}"/>
    <cellStyle name="Calcul 8" xfId="803" xr:uid="{00000000-0005-0000-0000-000021030000}"/>
    <cellStyle name="Calcul 8 2" xfId="804" xr:uid="{00000000-0005-0000-0000-000022030000}"/>
    <cellStyle name="Calcul 9" xfId="805" xr:uid="{00000000-0005-0000-0000-000023030000}"/>
    <cellStyle name="Calcul 9 2" xfId="806" xr:uid="{00000000-0005-0000-0000-000024030000}"/>
    <cellStyle name="Cellule liée 10" xfId="807" xr:uid="{00000000-0005-0000-0000-000025030000}"/>
    <cellStyle name="Cellule liée 10 2" xfId="808" xr:uid="{00000000-0005-0000-0000-000026030000}"/>
    <cellStyle name="Cellule liée 11" xfId="809" xr:uid="{00000000-0005-0000-0000-000027030000}"/>
    <cellStyle name="Cellule liée 11 2" xfId="810" xr:uid="{00000000-0005-0000-0000-000028030000}"/>
    <cellStyle name="Cellule liée 12" xfId="811" xr:uid="{00000000-0005-0000-0000-000029030000}"/>
    <cellStyle name="Cellule liée 12 2" xfId="812" xr:uid="{00000000-0005-0000-0000-00002A030000}"/>
    <cellStyle name="Cellule liée 13" xfId="813" xr:uid="{00000000-0005-0000-0000-00002B030000}"/>
    <cellStyle name="Cellule liée 2" xfId="814" xr:uid="{00000000-0005-0000-0000-00002C030000}"/>
    <cellStyle name="Cellule liée 2 2" xfId="815" xr:uid="{00000000-0005-0000-0000-00002D030000}"/>
    <cellStyle name="Cellule liée 2 3" xfId="816" xr:uid="{00000000-0005-0000-0000-00002E030000}"/>
    <cellStyle name="Cellule liée 3" xfId="817" xr:uid="{00000000-0005-0000-0000-00002F030000}"/>
    <cellStyle name="Cellule liée 3 2" xfId="818" xr:uid="{00000000-0005-0000-0000-000030030000}"/>
    <cellStyle name="Cellule liée 4" xfId="819" xr:uid="{00000000-0005-0000-0000-000031030000}"/>
    <cellStyle name="Cellule liée 4 2" xfId="820" xr:uid="{00000000-0005-0000-0000-000032030000}"/>
    <cellStyle name="Cellule liée 5" xfId="821" xr:uid="{00000000-0005-0000-0000-000033030000}"/>
    <cellStyle name="Cellule liée 5 2" xfId="822" xr:uid="{00000000-0005-0000-0000-000034030000}"/>
    <cellStyle name="Cellule liée 6" xfId="823" xr:uid="{00000000-0005-0000-0000-000035030000}"/>
    <cellStyle name="Cellule liée 6 2" xfId="824" xr:uid="{00000000-0005-0000-0000-000036030000}"/>
    <cellStyle name="Cellule liée 7" xfId="825" xr:uid="{00000000-0005-0000-0000-000037030000}"/>
    <cellStyle name="Cellule liée 7 2" xfId="826" xr:uid="{00000000-0005-0000-0000-000038030000}"/>
    <cellStyle name="Cellule liée 8" xfId="827" xr:uid="{00000000-0005-0000-0000-000039030000}"/>
    <cellStyle name="Cellule liée 8 2" xfId="828" xr:uid="{00000000-0005-0000-0000-00003A030000}"/>
    <cellStyle name="Cellule liée 9" xfId="829" xr:uid="{00000000-0005-0000-0000-00003B030000}"/>
    <cellStyle name="Cellule liée 9 2" xfId="830" xr:uid="{00000000-0005-0000-0000-00003C030000}"/>
    <cellStyle name="Comma 2" xfId="831" xr:uid="{00000000-0005-0000-0000-00003D030000}"/>
    <cellStyle name="Commentaire 10" xfId="832" xr:uid="{00000000-0005-0000-0000-00003E030000}"/>
    <cellStyle name="Commentaire 10 2" xfId="833" xr:uid="{00000000-0005-0000-0000-00003F030000}"/>
    <cellStyle name="Commentaire 11" xfId="834" xr:uid="{00000000-0005-0000-0000-000040030000}"/>
    <cellStyle name="Commentaire 11 2" xfId="835" xr:uid="{00000000-0005-0000-0000-000041030000}"/>
    <cellStyle name="Commentaire 12" xfId="836" xr:uid="{00000000-0005-0000-0000-000042030000}"/>
    <cellStyle name="Commentaire 12 2" xfId="837" xr:uid="{00000000-0005-0000-0000-000043030000}"/>
    <cellStyle name="Commentaire 13" xfId="838" xr:uid="{00000000-0005-0000-0000-000044030000}"/>
    <cellStyle name="Commentaire 2" xfId="839" xr:uid="{00000000-0005-0000-0000-000045030000}"/>
    <cellStyle name="Commentaire 2 10" xfId="840" xr:uid="{00000000-0005-0000-0000-000046030000}"/>
    <cellStyle name="Commentaire 2 10 2" xfId="841" xr:uid="{00000000-0005-0000-0000-000047030000}"/>
    <cellStyle name="Commentaire 2 10 2 2" xfId="842" xr:uid="{00000000-0005-0000-0000-000048030000}"/>
    <cellStyle name="Commentaire 2 10 3" xfId="843" xr:uid="{00000000-0005-0000-0000-000049030000}"/>
    <cellStyle name="Commentaire 2 11" xfId="844" xr:uid="{00000000-0005-0000-0000-00004A030000}"/>
    <cellStyle name="Commentaire 2 11 2" xfId="845" xr:uid="{00000000-0005-0000-0000-00004B030000}"/>
    <cellStyle name="Commentaire 2 2" xfId="846" xr:uid="{00000000-0005-0000-0000-00004C030000}"/>
    <cellStyle name="Commentaire 2 2 10" xfId="847" xr:uid="{00000000-0005-0000-0000-00004D030000}"/>
    <cellStyle name="Commentaire 2 2 11" xfId="848" xr:uid="{00000000-0005-0000-0000-00004E030000}"/>
    <cellStyle name="Commentaire 2 2 2" xfId="849" xr:uid="{00000000-0005-0000-0000-00004F030000}"/>
    <cellStyle name="Commentaire 2 2 2 10" xfId="850" xr:uid="{00000000-0005-0000-0000-000050030000}"/>
    <cellStyle name="Commentaire 2 2 2 11" xfId="851" xr:uid="{00000000-0005-0000-0000-000051030000}"/>
    <cellStyle name="Commentaire 2 2 2 2" xfId="852" xr:uid="{00000000-0005-0000-0000-000052030000}"/>
    <cellStyle name="Commentaire 2 2 2 2 10" xfId="853" xr:uid="{00000000-0005-0000-0000-000053030000}"/>
    <cellStyle name="Commentaire 2 2 2 2 11" xfId="854" xr:uid="{00000000-0005-0000-0000-000054030000}"/>
    <cellStyle name="Commentaire 2 2 2 2 2" xfId="855" xr:uid="{00000000-0005-0000-0000-000055030000}"/>
    <cellStyle name="Commentaire 2 2 2 2 3" xfId="856" xr:uid="{00000000-0005-0000-0000-000056030000}"/>
    <cellStyle name="Commentaire 2 2 2 2 4" xfId="857" xr:uid="{00000000-0005-0000-0000-000057030000}"/>
    <cellStyle name="Commentaire 2 2 2 2 5" xfId="858" xr:uid="{00000000-0005-0000-0000-000058030000}"/>
    <cellStyle name="Commentaire 2 2 2 2 6" xfId="859" xr:uid="{00000000-0005-0000-0000-000059030000}"/>
    <cellStyle name="Commentaire 2 2 2 2 7" xfId="860" xr:uid="{00000000-0005-0000-0000-00005A030000}"/>
    <cellStyle name="Commentaire 2 2 2 2 8" xfId="861" xr:uid="{00000000-0005-0000-0000-00005B030000}"/>
    <cellStyle name="Commentaire 2 2 2 2 9" xfId="862" xr:uid="{00000000-0005-0000-0000-00005C030000}"/>
    <cellStyle name="Commentaire 2 2 2 3" xfId="863" xr:uid="{00000000-0005-0000-0000-00005D030000}"/>
    <cellStyle name="Commentaire 2 2 2 4" xfId="864" xr:uid="{00000000-0005-0000-0000-00005E030000}"/>
    <cellStyle name="Commentaire 2 2 2 5" xfId="865" xr:uid="{00000000-0005-0000-0000-00005F030000}"/>
    <cellStyle name="Commentaire 2 2 2 6" xfId="866" xr:uid="{00000000-0005-0000-0000-000060030000}"/>
    <cellStyle name="Commentaire 2 2 2 7" xfId="867" xr:uid="{00000000-0005-0000-0000-000061030000}"/>
    <cellStyle name="Commentaire 2 2 2 8" xfId="868" xr:uid="{00000000-0005-0000-0000-000062030000}"/>
    <cellStyle name="Commentaire 2 2 2 9" xfId="869" xr:uid="{00000000-0005-0000-0000-000063030000}"/>
    <cellStyle name="Commentaire 2 2 3" xfId="870" xr:uid="{00000000-0005-0000-0000-000064030000}"/>
    <cellStyle name="Commentaire 2 2 3 2" xfId="871" xr:uid="{00000000-0005-0000-0000-000065030000}"/>
    <cellStyle name="Commentaire 2 2 3 2 2" xfId="872" xr:uid="{00000000-0005-0000-0000-000066030000}"/>
    <cellStyle name="Commentaire 2 2 3 3" xfId="873" xr:uid="{00000000-0005-0000-0000-000067030000}"/>
    <cellStyle name="Commentaire 2 2 4" xfId="874" xr:uid="{00000000-0005-0000-0000-000068030000}"/>
    <cellStyle name="Commentaire 2 2 4 2" xfId="875" xr:uid="{00000000-0005-0000-0000-000069030000}"/>
    <cellStyle name="Commentaire 2 2 5" xfId="876" xr:uid="{00000000-0005-0000-0000-00006A030000}"/>
    <cellStyle name="Commentaire 2 2 6" xfId="877" xr:uid="{00000000-0005-0000-0000-00006B030000}"/>
    <cellStyle name="Commentaire 2 2 7" xfId="878" xr:uid="{00000000-0005-0000-0000-00006C030000}"/>
    <cellStyle name="Commentaire 2 2 8" xfId="879" xr:uid="{00000000-0005-0000-0000-00006D030000}"/>
    <cellStyle name="Commentaire 2 2 9" xfId="880" xr:uid="{00000000-0005-0000-0000-00006E030000}"/>
    <cellStyle name="Commentaire 2 3" xfId="881" xr:uid="{00000000-0005-0000-0000-00006F030000}"/>
    <cellStyle name="Commentaire 2 3 2" xfId="882" xr:uid="{00000000-0005-0000-0000-000070030000}"/>
    <cellStyle name="Commentaire 2 3 2 2" xfId="883" xr:uid="{00000000-0005-0000-0000-000071030000}"/>
    <cellStyle name="Commentaire 2 3 2 2 2" xfId="884" xr:uid="{00000000-0005-0000-0000-000072030000}"/>
    <cellStyle name="Commentaire 2 3 2 3" xfId="885" xr:uid="{00000000-0005-0000-0000-000073030000}"/>
    <cellStyle name="Commentaire 2 3 3" xfId="886" xr:uid="{00000000-0005-0000-0000-000074030000}"/>
    <cellStyle name="Commentaire 2 3 3 2" xfId="887" xr:uid="{00000000-0005-0000-0000-000075030000}"/>
    <cellStyle name="Commentaire 2 3 3 2 2" xfId="888" xr:uid="{00000000-0005-0000-0000-000076030000}"/>
    <cellStyle name="Commentaire 2 3 3 3" xfId="889" xr:uid="{00000000-0005-0000-0000-000077030000}"/>
    <cellStyle name="Commentaire 2 3 4" xfId="890" xr:uid="{00000000-0005-0000-0000-000078030000}"/>
    <cellStyle name="Commentaire 2 3 4 2" xfId="891" xr:uid="{00000000-0005-0000-0000-000079030000}"/>
    <cellStyle name="Commentaire 2 4" xfId="892" xr:uid="{00000000-0005-0000-0000-00007A030000}"/>
    <cellStyle name="Commentaire 2 4 2" xfId="893" xr:uid="{00000000-0005-0000-0000-00007B030000}"/>
    <cellStyle name="Commentaire 2 4 2 2" xfId="894" xr:uid="{00000000-0005-0000-0000-00007C030000}"/>
    <cellStyle name="Commentaire 2 4 2 2 2" xfId="895" xr:uid="{00000000-0005-0000-0000-00007D030000}"/>
    <cellStyle name="Commentaire 2 4 2 3" xfId="896" xr:uid="{00000000-0005-0000-0000-00007E030000}"/>
    <cellStyle name="Commentaire 2 4 3" xfId="897" xr:uid="{00000000-0005-0000-0000-00007F030000}"/>
    <cellStyle name="Commentaire 2 4 3 2" xfId="898" xr:uid="{00000000-0005-0000-0000-000080030000}"/>
    <cellStyle name="Commentaire 2 4 3 2 2" xfId="899" xr:uid="{00000000-0005-0000-0000-000081030000}"/>
    <cellStyle name="Commentaire 2 4 3 3" xfId="900" xr:uid="{00000000-0005-0000-0000-000082030000}"/>
    <cellStyle name="Commentaire 2 4 4" xfId="901" xr:uid="{00000000-0005-0000-0000-000083030000}"/>
    <cellStyle name="Commentaire 2 4 4 2" xfId="902" xr:uid="{00000000-0005-0000-0000-000084030000}"/>
    <cellStyle name="Commentaire 2 5" xfId="903" xr:uid="{00000000-0005-0000-0000-000085030000}"/>
    <cellStyle name="Commentaire 2 5 2" xfId="904" xr:uid="{00000000-0005-0000-0000-000086030000}"/>
    <cellStyle name="Commentaire 2 5 2 2" xfId="905" xr:uid="{00000000-0005-0000-0000-000087030000}"/>
    <cellStyle name="Commentaire 2 5 2 2 2" xfId="906" xr:uid="{00000000-0005-0000-0000-000088030000}"/>
    <cellStyle name="Commentaire 2 5 2 3" xfId="907" xr:uid="{00000000-0005-0000-0000-000089030000}"/>
    <cellStyle name="Commentaire 2 5 3" xfId="908" xr:uid="{00000000-0005-0000-0000-00008A030000}"/>
    <cellStyle name="Commentaire 2 5 3 2" xfId="909" xr:uid="{00000000-0005-0000-0000-00008B030000}"/>
    <cellStyle name="Commentaire 2 5 3 2 2" xfId="910" xr:uid="{00000000-0005-0000-0000-00008C030000}"/>
    <cellStyle name="Commentaire 2 5 3 3" xfId="911" xr:uid="{00000000-0005-0000-0000-00008D030000}"/>
    <cellStyle name="Commentaire 2 5 4" xfId="912" xr:uid="{00000000-0005-0000-0000-00008E030000}"/>
    <cellStyle name="Commentaire 2 5 4 2" xfId="913" xr:uid="{00000000-0005-0000-0000-00008F030000}"/>
    <cellStyle name="Commentaire 2 6" xfId="914" xr:uid="{00000000-0005-0000-0000-000090030000}"/>
    <cellStyle name="Commentaire 2 6 2" xfId="915" xr:uid="{00000000-0005-0000-0000-000091030000}"/>
    <cellStyle name="Commentaire 2 6 2 2" xfId="916" xr:uid="{00000000-0005-0000-0000-000092030000}"/>
    <cellStyle name="Commentaire 2 6 2 2 2" xfId="917" xr:uid="{00000000-0005-0000-0000-000093030000}"/>
    <cellStyle name="Commentaire 2 6 2 3" xfId="918" xr:uid="{00000000-0005-0000-0000-000094030000}"/>
    <cellStyle name="Commentaire 2 6 3" xfId="919" xr:uid="{00000000-0005-0000-0000-000095030000}"/>
    <cellStyle name="Commentaire 2 6 3 2" xfId="920" xr:uid="{00000000-0005-0000-0000-000096030000}"/>
    <cellStyle name="Commentaire 2 6 3 2 2" xfId="921" xr:uid="{00000000-0005-0000-0000-000097030000}"/>
    <cellStyle name="Commentaire 2 6 3 3" xfId="922" xr:uid="{00000000-0005-0000-0000-000098030000}"/>
    <cellStyle name="Commentaire 2 6 4" xfId="923" xr:uid="{00000000-0005-0000-0000-000099030000}"/>
    <cellStyle name="Commentaire 2 6 4 2" xfId="924" xr:uid="{00000000-0005-0000-0000-00009A030000}"/>
    <cellStyle name="Commentaire 2 7" xfId="925" xr:uid="{00000000-0005-0000-0000-00009B030000}"/>
    <cellStyle name="Commentaire 2 7 2" xfId="926" xr:uid="{00000000-0005-0000-0000-00009C030000}"/>
    <cellStyle name="Commentaire 2 7 2 2" xfId="927" xr:uid="{00000000-0005-0000-0000-00009D030000}"/>
    <cellStyle name="Commentaire 2 7 2 2 2" xfId="928" xr:uid="{00000000-0005-0000-0000-00009E030000}"/>
    <cellStyle name="Commentaire 2 7 2 3" xfId="929" xr:uid="{00000000-0005-0000-0000-00009F030000}"/>
    <cellStyle name="Commentaire 2 7 3" xfId="930" xr:uid="{00000000-0005-0000-0000-0000A0030000}"/>
    <cellStyle name="Commentaire 2 7 3 2" xfId="931" xr:uid="{00000000-0005-0000-0000-0000A1030000}"/>
    <cellStyle name="Commentaire 2 7 3 2 2" xfId="932" xr:uid="{00000000-0005-0000-0000-0000A2030000}"/>
    <cellStyle name="Commentaire 2 7 3 3" xfId="933" xr:uid="{00000000-0005-0000-0000-0000A3030000}"/>
    <cellStyle name="Commentaire 2 7 4" xfId="934" xr:uid="{00000000-0005-0000-0000-0000A4030000}"/>
    <cellStyle name="Commentaire 2 7 4 2" xfId="935" xr:uid="{00000000-0005-0000-0000-0000A5030000}"/>
    <cellStyle name="Commentaire 2 8" xfId="936" xr:uid="{00000000-0005-0000-0000-0000A6030000}"/>
    <cellStyle name="Commentaire 2 8 2" xfId="937" xr:uid="{00000000-0005-0000-0000-0000A7030000}"/>
    <cellStyle name="Commentaire 2 8 2 2" xfId="938" xr:uid="{00000000-0005-0000-0000-0000A8030000}"/>
    <cellStyle name="Commentaire 2 8 2 2 2" xfId="939" xr:uid="{00000000-0005-0000-0000-0000A9030000}"/>
    <cellStyle name="Commentaire 2 8 2 3" xfId="940" xr:uid="{00000000-0005-0000-0000-0000AA030000}"/>
    <cellStyle name="Commentaire 2 8 3" xfId="941" xr:uid="{00000000-0005-0000-0000-0000AB030000}"/>
    <cellStyle name="Commentaire 2 8 3 2" xfId="942" xr:uid="{00000000-0005-0000-0000-0000AC030000}"/>
    <cellStyle name="Commentaire 2 8 3 2 2" xfId="943" xr:uid="{00000000-0005-0000-0000-0000AD030000}"/>
    <cellStyle name="Commentaire 2 8 3 3" xfId="944" xr:uid="{00000000-0005-0000-0000-0000AE030000}"/>
    <cellStyle name="Commentaire 2 8 4" xfId="945" xr:uid="{00000000-0005-0000-0000-0000AF030000}"/>
    <cellStyle name="Commentaire 2 8 4 2" xfId="946" xr:uid="{00000000-0005-0000-0000-0000B0030000}"/>
    <cellStyle name="Commentaire 2 9" xfId="947" xr:uid="{00000000-0005-0000-0000-0000B1030000}"/>
    <cellStyle name="Commentaire 2 9 2" xfId="948" xr:uid="{00000000-0005-0000-0000-0000B2030000}"/>
    <cellStyle name="Commentaire 2 9 2 2" xfId="949" xr:uid="{00000000-0005-0000-0000-0000B3030000}"/>
    <cellStyle name="Commentaire 2 9 3" xfId="950" xr:uid="{00000000-0005-0000-0000-0000B4030000}"/>
    <cellStyle name="Commentaire 3" xfId="951" xr:uid="{00000000-0005-0000-0000-0000B5030000}"/>
    <cellStyle name="Commentaire 3 2" xfId="952" xr:uid="{00000000-0005-0000-0000-0000B6030000}"/>
    <cellStyle name="Commentaire 4" xfId="953" xr:uid="{00000000-0005-0000-0000-0000B7030000}"/>
    <cellStyle name="Commentaire 4 2" xfId="954" xr:uid="{00000000-0005-0000-0000-0000B8030000}"/>
    <cellStyle name="Commentaire 5" xfId="955" xr:uid="{00000000-0005-0000-0000-0000B9030000}"/>
    <cellStyle name="Commentaire 5 2" xfId="956" xr:uid="{00000000-0005-0000-0000-0000BA030000}"/>
    <cellStyle name="Commentaire 6" xfId="957" xr:uid="{00000000-0005-0000-0000-0000BB030000}"/>
    <cellStyle name="Commentaire 6 2" xfId="958" xr:uid="{00000000-0005-0000-0000-0000BC030000}"/>
    <cellStyle name="Commentaire 7" xfId="959" xr:uid="{00000000-0005-0000-0000-0000BD030000}"/>
    <cellStyle name="Commentaire 7 2" xfId="960" xr:uid="{00000000-0005-0000-0000-0000BE030000}"/>
    <cellStyle name="Commentaire 8" xfId="961" xr:uid="{00000000-0005-0000-0000-0000BF030000}"/>
    <cellStyle name="Commentaire 8 2" xfId="962" xr:uid="{00000000-0005-0000-0000-0000C0030000}"/>
    <cellStyle name="Commentaire 9" xfId="963" xr:uid="{00000000-0005-0000-0000-0000C1030000}"/>
    <cellStyle name="Commentaire 9 2" xfId="964" xr:uid="{00000000-0005-0000-0000-0000C2030000}"/>
    <cellStyle name="Date" xfId="965" xr:uid="{00000000-0005-0000-0000-0000C3030000}"/>
    <cellStyle name="Entrée 10" xfId="966" xr:uid="{00000000-0005-0000-0000-0000C4030000}"/>
    <cellStyle name="Entrée 10 2" xfId="967" xr:uid="{00000000-0005-0000-0000-0000C5030000}"/>
    <cellStyle name="Entrée 11" xfId="968" xr:uid="{00000000-0005-0000-0000-0000C6030000}"/>
    <cellStyle name="Entrée 11 2" xfId="969" xr:uid="{00000000-0005-0000-0000-0000C7030000}"/>
    <cellStyle name="Entrée 12" xfId="970" xr:uid="{00000000-0005-0000-0000-0000C8030000}"/>
    <cellStyle name="Entrée 12 2" xfId="971" xr:uid="{00000000-0005-0000-0000-0000C9030000}"/>
    <cellStyle name="Entrée 13" xfId="972" xr:uid="{00000000-0005-0000-0000-0000CA030000}"/>
    <cellStyle name="Entrée 2" xfId="973" xr:uid="{00000000-0005-0000-0000-0000CB030000}"/>
    <cellStyle name="Entrée 2 10" xfId="974" xr:uid="{00000000-0005-0000-0000-0000CC030000}"/>
    <cellStyle name="Entrée 2 10 2" xfId="975" xr:uid="{00000000-0005-0000-0000-0000CD030000}"/>
    <cellStyle name="Entrée 2 10 2 2" xfId="976" xr:uid="{00000000-0005-0000-0000-0000CE030000}"/>
    <cellStyle name="Entrée 2 10 3" xfId="977" xr:uid="{00000000-0005-0000-0000-0000CF030000}"/>
    <cellStyle name="Entrée 2 11" xfId="978" xr:uid="{00000000-0005-0000-0000-0000D0030000}"/>
    <cellStyle name="Entrée 2 11 2" xfId="979" xr:uid="{00000000-0005-0000-0000-0000D1030000}"/>
    <cellStyle name="Entrée 2 2" xfId="980" xr:uid="{00000000-0005-0000-0000-0000D2030000}"/>
    <cellStyle name="Entrée 2 2 2" xfId="981" xr:uid="{00000000-0005-0000-0000-0000D3030000}"/>
    <cellStyle name="Entrée 2 2 2 2" xfId="982" xr:uid="{00000000-0005-0000-0000-0000D4030000}"/>
    <cellStyle name="Entrée 2 2 2 2 2" xfId="983" xr:uid="{00000000-0005-0000-0000-0000D5030000}"/>
    <cellStyle name="Entrée 2 2 2 3" xfId="984" xr:uid="{00000000-0005-0000-0000-0000D6030000}"/>
    <cellStyle name="Entrée 2 2 3" xfId="985" xr:uid="{00000000-0005-0000-0000-0000D7030000}"/>
    <cellStyle name="Entrée 2 2 3 2" xfId="986" xr:uid="{00000000-0005-0000-0000-0000D8030000}"/>
    <cellStyle name="Entrée 2 2 3 2 2" xfId="987" xr:uid="{00000000-0005-0000-0000-0000D9030000}"/>
    <cellStyle name="Entrée 2 2 3 3" xfId="988" xr:uid="{00000000-0005-0000-0000-0000DA030000}"/>
    <cellStyle name="Entrée 2 2 4" xfId="989" xr:uid="{00000000-0005-0000-0000-0000DB030000}"/>
    <cellStyle name="Entrée 2 2 4 2" xfId="990" xr:uid="{00000000-0005-0000-0000-0000DC030000}"/>
    <cellStyle name="Entrée 2 3" xfId="991" xr:uid="{00000000-0005-0000-0000-0000DD030000}"/>
    <cellStyle name="Entrée 2 3 2" xfId="992" xr:uid="{00000000-0005-0000-0000-0000DE030000}"/>
    <cellStyle name="Entrée 2 3 2 2" xfId="993" xr:uid="{00000000-0005-0000-0000-0000DF030000}"/>
    <cellStyle name="Entrée 2 3 2 2 2" xfId="994" xr:uid="{00000000-0005-0000-0000-0000E0030000}"/>
    <cellStyle name="Entrée 2 3 2 3" xfId="995" xr:uid="{00000000-0005-0000-0000-0000E1030000}"/>
    <cellStyle name="Entrée 2 3 3" xfId="996" xr:uid="{00000000-0005-0000-0000-0000E2030000}"/>
    <cellStyle name="Entrée 2 3 3 2" xfId="997" xr:uid="{00000000-0005-0000-0000-0000E3030000}"/>
    <cellStyle name="Entrée 2 3 3 2 2" xfId="998" xr:uid="{00000000-0005-0000-0000-0000E4030000}"/>
    <cellStyle name="Entrée 2 3 3 3" xfId="999" xr:uid="{00000000-0005-0000-0000-0000E5030000}"/>
    <cellStyle name="Entrée 2 3 4" xfId="1000" xr:uid="{00000000-0005-0000-0000-0000E6030000}"/>
    <cellStyle name="Entrée 2 3 4 2" xfId="1001" xr:uid="{00000000-0005-0000-0000-0000E7030000}"/>
    <cellStyle name="Entrée 2 4" xfId="1002" xr:uid="{00000000-0005-0000-0000-0000E8030000}"/>
    <cellStyle name="Entrée 2 4 2" xfId="1003" xr:uid="{00000000-0005-0000-0000-0000E9030000}"/>
    <cellStyle name="Entrée 2 4 2 2" xfId="1004" xr:uid="{00000000-0005-0000-0000-0000EA030000}"/>
    <cellStyle name="Entrée 2 4 2 2 2" xfId="1005" xr:uid="{00000000-0005-0000-0000-0000EB030000}"/>
    <cellStyle name="Entrée 2 4 2 3" xfId="1006" xr:uid="{00000000-0005-0000-0000-0000EC030000}"/>
    <cellStyle name="Entrée 2 4 3" xfId="1007" xr:uid="{00000000-0005-0000-0000-0000ED030000}"/>
    <cellStyle name="Entrée 2 4 3 2" xfId="1008" xr:uid="{00000000-0005-0000-0000-0000EE030000}"/>
    <cellStyle name="Entrée 2 4 3 2 2" xfId="1009" xr:uid="{00000000-0005-0000-0000-0000EF030000}"/>
    <cellStyle name="Entrée 2 4 3 3" xfId="1010" xr:uid="{00000000-0005-0000-0000-0000F0030000}"/>
    <cellStyle name="Entrée 2 4 4" xfId="1011" xr:uid="{00000000-0005-0000-0000-0000F1030000}"/>
    <cellStyle name="Entrée 2 4 4 2" xfId="1012" xr:uid="{00000000-0005-0000-0000-0000F2030000}"/>
    <cellStyle name="Entrée 2 5" xfId="1013" xr:uid="{00000000-0005-0000-0000-0000F3030000}"/>
    <cellStyle name="Entrée 2 5 2" xfId="1014" xr:uid="{00000000-0005-0000-0000-0000F4030000}"/>
    <cellStyle name="Entrée 2 5 2 2" xfId="1015" xr:uid="{00000000-0005-0000-0000-0000F5030000}"/>
    <cellStyle name="Entrée 2 5 2 2 2" xfId="1016" xr:uid="{00000000-0005-0000-0000-0000F6030000}"/>
    <cellStyle name="Entrée 2 5 2 3" xfId="1017" xr:uid="{00000000-0005-0000-0000-0000F7030000}"/>
    <cellStyle name="Entrée 2 5 3" xfId="1018" xr:uid="{00000000-0005-0000-0000-0000F8030000}"/>
    <cellStyle name="Entrée 2 5 3 2" xfId="1019" xr:uid="{00000000-0005-0000-0000-0000F9030000}"/>
    <cellStyle name="Entrée 2 5 3 2 2" xfId="1020" xr:uid="{00000000-0005-0000-0000-0000FA030000}"/>
    <cellStyle name="Entrée 2 5 3 3" xfId="1021" xr:uid="{00000000-0005-0000-0000-0000FB030000}"/>
    <cellStyle name="Entrée 2 5 4" xfId="1022" xr:uid="{00000000-0005-0000-0000-0000FC030000}"/>
    <cellStyle name="Entrée 2 5 4 2" xfId="1023" xr:uid="{00000000-0005-0000-0000-0000FD030000}"/>
    <cellStyle name="Entrée 2 6" xfId="1024" xr:uid="{00000000-0005-0000-0000-0000FE030000}"/>
    <cellStyle name="Entrée 2 6 2" xfId="1025" xr:uid="{00000000-0005-0000-0000-0000FF030000}"/>
    <cellStyle name="Entrée 2 6 2 2" xfId="1026" xr:uid="{00000000-0005-0000-0000-000000040000}"/>
    <cellStyle name="Entrée 2 6 2 2 2" xfId="1027" xr:uid="{00000000-0005-0000-0000-000001040000}"/>
    <cellStyle name="Entrée 2 6 2 3" xfId="1028" xr:uid="{00000000-0005-0000-0000-000002040000}"/>
    <cellStyle name="Entrée 2 6 3" xfId="1029" xr:uid="{00000000-0005-0000-0000-000003040000}"/>
    <cellStyle name="Entrée 2 6 3 2" xfId="1030" xr:uid="{00000000-0005-0000-0000-000004040000}"/>
    <cellStyle name="Entrée 2 6 3 2 2" xfId="1031" xr:uid="{00000000-0005-0000-0000-000005040000}"/>
    <cellStyle name="Entrée 2 6 3 3" xfId="1032" xr:uid="{00000000-0005-0000-0000-000006040000}"/>
    <cellStyle name="Entrée 2 6 4" xfId="1033" xr:uid="{00000000-0005-0000-0000-000007040000}"/>
    <cellStyle name="Entrée 2 6 4 2" xfId="1034" xr:uid="{00000000-0005-0000-0000-000008040000}"/>
    <cellStyle name="Entrée 2 7" xfId="1035" xr:uid="{00000000-0005-0000-0000-000009040000}"/>
    <cellStyle name="Entrée 2 7 2" xfId="1036" xr:uid="{00000000-0005-0000-0000-00000A040000}"/>
    <cellStyle name="Entrée 2 7 2 2" xfId="1037" xr:uid="{00000000-0005-0000-0000-00000B040000}"/>
    <cellStyle name="Entrée 2 7 2 2 2" xfId="1038" xr:uid="{00000000-0005-0000-0000-00000C040000}"/>
    <cellStyle name="Entrée 2 7 2 3" xfId="1039" xr:uid="{00000000-0005-0000-0000-00000D040000}"/>
    <cellStyle name="Entrée 2 7 3" xfId="1040" xr:uid="{00000000-0005-0000-0000-00000E040000}"/>
    <cellStyle name="Entrée 2 7 3 2" xfId="1041" xr:uid="{00000000-0005-0000-0000-00000F040000}"/>
    <cellStyle name="Entrée 2 7 3 2 2" xfId="1042" xr:uid="{00000000-0005-0000-0000-000010040000}"/>
    <cellStyle name="Entrée 2 7 3 3" xfId="1043" xr:uid="{00000000-0005-0000-0000-000011040000}"/>
    <cellStyle name="Entrée 2 7 4" xfId="1044" xr:uid="{00000000-0005-0000-0000-000012040000}"/>
    <cellStyle name="Entrée 2 7 4 2" xfId="1045" xr:uid="{00000000-0005-0000-0000-000013040000}"/>
    <cellStyle name="Entrée 2 8" xfId="1046" xr:uid="{00000000-0005-0000-0000-000014040000}"/>
    <cellStyle name="Entrée 2 8 2" xfId="1047" xr:uid="{00000000-0005-0000-0000-000015040000}"/>
    <cellStyle name="Entrée 2 8 2 2" xfId="1048" xr:uid="{00000000-0005-0000-0000-000016040000}"/>
    <cellStyle name="Entrée 2 8 2 2 2" xfId="1049" xr:uid="{00000000-0005-0000-0000-000017040000}"/>
    <cellStyle name="Entrée 2 8 2 3" xfId="1050" xr:uid="{00000000-0005-0000-0000-000018040000}"/>
    <cellStyle name="Entrée 2 8 3" xfId="1051" xr:uid="{00000000-0005-0000-0000-000019040000}"/>
    <cellStyle name="Entrée 2 8 3 2" xfId="1052" xr:uid="{00000000-0005-0000-0000-00001A040000}"/>
    <cellStyle name="Entrée 2 8 3 2 2" xfId="1053" xr:uid="{00000000-0005-0000-0000-00001B040000}"/>
    <cellStyle name="Entrée 2 8 3 3" xfId="1054" xr:uid="{00000000-0005-0000-0000-00001C040000}"/>
    <cellStyle name="Entrée 2 8 4" xfId="1055" xr:uid="{00000000-0005-0000-0000-00001D040000}"/>
    <cellStyle name="Entrée 2 8 4 2" xfId="1056" xr:uid="{00000000-0005-0000-0000-00001E040000}"/>
    <cellStyle name="Entrée 2 9" xfId="1057" xr:uid="{00000000-0005-0000-0000-00001F040000}"/>
    <cellStyle name="Entrée 2 9 2" xfId="1058" xr:uid="{00000000-0005-0000-0000-000020040000}"/>
    <cellStyle name="Entrée 2 9 2 2" xfId="1059" xr:uid="{00000000-0005-0000-0000-000021040000}"/>
    <cellStyle name="Entrée 2 9 3" xfId="1060" xr:uid="{00000000-0005-0000-0000-000022040000}"/>
    <cellStyle name="Entrée 3" xfId="1061" xr:uid="{00000000-0005-0000-0000-000023040000}"/>
    <cellStyle name="Entrée 3 2" xfId="1062" xr:uid="{00000000-0005-0000-0000-000024040000}"/>
    <cellStyle name="Entrée 4" xfId="1063" xr:uid="{00000000-0005-0000-0000-000025040000}"/>
    <cellStyle name="Entrée 4 2" xfId="1064" xr:uid="{00000000-0005-0000-0000-000026040000}"/>
    <cellStyle name="Entrée 5" xfId="1065" xr:uid="{00000000-0005-0000-0000-000027040000}"/>
    <cellStyle name="Entrée 5 2" xfId="1066" xr:uid="{00000000-0005-0000-0000-000028040000}"/>
    <cellStyle name="Entrée 6" xfId="1067" xr:uid="{00000000-0005-0000-0000-000029040000}"/>
    <cellStyle name="Entrée 6 2" xfId="1068" xr:uid="{00000000-0005-0000-0000-00002A040000}"/>
    <cellStyle name="Entrée 7" xfId="1069" xr:uid="{00000000-0005-0000-0000-00002B040000}"/>
    <cellStyle name="Entrée 7 2" xfId="1070" xr:uid="{00000000-0005-0000-0000-00002C040000}"/>
    <cellStyle name="Entrée 8" xfId="1071" xr:uid="{00000000-0005-0000-0000-00002D040000}"/>
    <cellStyle name="Entrée 8 2" xfId="1072" xr:uid="{00000000-0005-0000-0000-00002E040000}"/>
    <cellStyle name="Entrée 9" xfId="1073" xr:uid="{00000000-0005-0000-0000-00002F040000}"/>
    <cellStyle name="Entrée 9 2" xfId="1074" xr:uid="{00000000-0005-0000-0000-000030040000}"/>
    <cellStyle name="Euro" xfId="1075" xr:uid="{00000000-0005-0000-0000-000031040000}"/>
    <cellStyle name="Excel Built-in Normal" xfId="1076" xr:uid="{00000000-0005-0000-0000-000032040000}"/>
    <cellStyle name="Insatisfaisant 10" xfId="1077" xr:uid="{00000000-0005-0000-0000-000033040000}"/>
    <cellStyle name="Insatisfaisant 10 2" xfId="1078" xr:uid="{00000000-0005-0000-0000-000034040000}"/>
    <cellStyle name="Insatisfaisant 11" xfId="1079" xr:uid="{00000000-0005-0000-0000-000035040000}"/>
    <cellStyle name="Insatisfaisant 11 2" xfId="1080" xr:uid="{00000000-0005-0000-0000-000036040000}"/>
    <cellStyle name="Insatisfaisant 12" xfId="1081" xr:uid="{00000000-0005-0000-0000-000037040000}"/>
    <cellStyle name="Insatisfaisant 12 2" xfId="1082" xr:uid="{00000000-0005-0000-0000-000038040000}"/>
    <cellStyle name="Insatisfaisant 13" xfId="1083" xr:uid="{00000000-0005-0000-0000-000039040000}"/>
    <cellStyle name="Insatisfaisant 2" xfId="1084" xr:uid="{00000000-0005-0000-0000-00003A040000}"/>
    <cellStyle name="Insatisfaisant 2 2" xfId="1085" xr:uid="{00000000-0005-0000-0000-00003B040000}"/>
    <cellStyle name="Insatisfaisant 2 3" xfId="1086" xr:uid="{00000000-0005-0000-0000-00003C040000}"/>
    <cellStyle name="Insatisfaisant 3" xfId="1087" xr:uid="{00000000-0005-0000-0000-00003D040000}"/>
    <cellStyle name="Insatisfaisant 3 2" xfId="1088" xr:uid="{00000000-0005-0000-0000-00003E040000}"/>
    <cellStyle name="Insatisfaisant 4" xfId="1089" xr:uid="{00000000-0005-0000-0000-00003F040000}"/>
    <cellStyle name="Insatisfaisant 4 2" xfId="1090" xr:uid="{00000000-0005-0000-0000-000040040000}"/>
    <cellStyle name="Insatisfaisant 5" xfId="1091" xr:uid="{00000000-0005-0000-0000-000041040000}"/>
    <cellStyle name="Insatisfaisant 5 2" xfId="1092" xr:uid="{00000000-0005-0000-0000-000042040000}"/>
    <cellStyle name="Insatisfaisant 6" xfId="1093" xr:uid="{00000000-0005-0000-0000-000043040000}"/>
    <cellStyle name="Insatisfaisant 6 2" xfId="1094" xr:uid="{00000000-0005-0000-0000-000044040000}"/>
    <cellStyle name="Insatisfaisant 7" xfId="1095" xr:uid="{00000000-0005-0000-0000-000045040000}"/>
    <cellStyle name="Insatisfaisant 7 2" xfId="1096" xr:uid="{00000000-0005-0000-0000-000046040000}"/>
    <cellStyle name="Insatisfaisant 8" xfId="1097" xr:uid="{00000000-0005-0000-0000-000047040000}"/>
    <cellStyle name="Insatisfaisant 8 2" xfId="1098" xr:uid="{00000000-0005-0000-0000-000048040000}"/>
    <cellStyle name="Insatisfaisant 9" xfId="1099" xr:uid="{00000000-0005-0000-0000-000049040000}"/>
    <cellStyle name="Insatisfaisant 9 2" xfId="1100" xr:uid="{00000000-0005-0000-0000-00004A040000}"/>
    <cellStyle name="Milliers 10" xfId="1101" xr:uid="{00000000-0005-0000-0000-00004B040000}"/>
    <cellStyle name="Milliers 13" xfId="1102" xr:uid="{00000000-0005-0000-0000-00004C040000}"/>
    <cellStyle name="Milliers 2" xfId="1103" xr:uid="{00000000-0005-0000-0000-00004D040000}"/>
    <cellStyle name="Milliers 2 10" xfId="1104" xr:uid="{00000000-0005-0000-0000-00004E040000}"/>
    <cellStyle name="Milliers 2 11" xfId="1105" xr:uid="{00000000-0005-0000-0000-00004F040000}"/>
    <cellStyle name="Milliers 2 12" xfId="1106" xr:uid="{00000000-0005-0000-0000-000050040000}"/>
    <cellStyle name="Milliers 2 13" xfId="1107" xr:uid="{00000000-0005-0000-0000-000051040000}"/>
    <cellStyle name="Milliers 2 14" xfId="1108" xr:uid="{00000000-0005-0000-0000-000052040000}"/>
    <cellStyle name="Milliers 2 2" xfId="1109" xr:uid="{00000000-0005-0000-0000-000053040000}"/>
    <cellStyle name="Milliers 2 2 10" xfId="1110" xr:uid="{00000000-0005-0000-0000-000054040000}"/>
    <cellStyle name="Milliers 2 2 11" xfId="1111" xr:uid="{00000000-0005-0000-0000-000055040000}"/>
    <cellStyle name="Milliers 2 2 12" xfId="1112" xr:uid="{00000000-0005-0000-0000-000056040000}"/>
    <cellStyle name="Milliers 2 2 13" xfId="1113" xr:uid="{00000000-0005-0000-0000-000057040000}"/>
    <cellStyle name="Milliers 2 2 14" xfId="1114" xr:uid="{00000000-0005-0000-0000-000058040000}"/>
    <cellStyle name="Milliers 2 2 15" xfId="1115" xr:uid="{00000000-0005-0000-0000-000059040000}"/>
    <cellStyle name="Milliers 2 2 2" xfId="1116" xr:uid="{00000000-0005-0000-0000-00005A040000}"/>
    <cellStyle name="Milliers 2 2 3" xfId="1117" xr:uid="{00000000-0005-0000-0000-00005B040000}"/>
    <cellStyle name="Milliers 2 2 4" xfId="1118" xr:uid="{00000000-0005-0000-0000-00005C040000}"/>
    <cellStyle name="Milliers 2 2 5" xfId="1119" xr:uid="{00000000-0005-0000-0000-00005D040000}"/>
    <cellStyle name="Milliers 2 2 6" xfId="1120" xr:uid="{00000000-0005-0000-0000-00005E040000}"/>
    <cellStyle name="Milliers 2 2 7" xfId="1121" xr:uid="{00000000-0005-0000-0000-00005F040000}"/>
    <cellStyle name="Milliers 2 2 8" xfId="1122" xr:uid="{00000000-0005-0000-0000-000060040000}"/>
    <cellStyle name="Milliers 2 2 9" xfId="1123" xr:uid="{00000000-0005-0000-0000-000061040000}"/>
    <cellStyle name="Milliers 2 3" xfId="1124" xr:uid="{00000000-0005-0000-0000-000062040000}"/>
    <cellStyle name="Milliers 2 3 2" xfId="1125" xr:uid="{00000000-0005-0000-0000-000063040000}"/>
    <cellStyle name="Milliers 2 4" xfId="1126" xr:uid="{00000000-0005-0000-0000-000064040000}"/>
    <cellStyle name="Milliers 2 5" xfId="1127" xr:uid="{00000000-0005-0000-0000-000065040000}"/>
    <cellStyle name="Milliers 2 6" xfId="1128" xr:uid="{00000000-0005-0000-0000-000066040000}"/>
    <cellStyle name="Milliers 2 7" xfId="1129" xr:uid="{00000000-0005-0000-0000-000067040000}"/>
    <cellStyle name="Milliers 2 8" xfId="1130" xr:uid="{00000000-0005-0000-0000-000068040000}"/>
    <cellStyle name="Milliers 2 9" xfId="1131" xr:uid="{00000000-0005-0000-0000-000069040000}"/>
    <cellStyle name="Milliers 3" xfId="1132" xr:uid="{00000000-0005-0000-0000-00006A040000}"/>
    <cellStyle name="Milliers 3 2" xfId="1133" xr:uid="{00000000-0005-0000-0000-00006B040000}"/>
    <cellStyle name="Milliers 3 3" xfId="1134" xr:uid="{00000000-0005-0000-0000-00006C040000}"/>
    <cellStyle name="Milliers 4" xfId="1135" xr:uid="{00000000-0005-0000-0000-00006D040000}"/>
    <cellStyle name="Milliers 4 2" xfId="1136" xr:uid="{00000000-0005-0000-0000-00006E040000}"/>
    <cellStyle name="Milliers 4 3" xfId="1137" xr:uid="{00000000-0005-0000-0000-00006F040000}"/>
    <cellStyle name="Milliers 5" xfId="1138" xr:uid="{00000000-0005-0000-0000-000070040000}"/>
    <cellStyle name="Milliers 5 2" xfId="1139" xr:uid="{00000000-0005-0000-0000-000071040000}"/>
    <cellStyle name="Milliers 6" xfId="1140" xr:uid="{00000000-0005-0000-0000-000072040000}"/>
    <cellStyle name="Milliers 6 2" xfId="1141" xr:uid="{00000000-0005-0000-0000-000073040000}"/>
    <cellStyle name="Milliers 7" xfId="1142" xr:uid="{00000000-0005-0000-0000-000074040000}"/>
    <cellStyle name="Milliers 8" xfId="1143" xr:uid="{00000000-0005-0000-0000-000075040000}"/>
    <cellStyle name="Milliers 9" xfId="1144" xr:uid="{00000000-0005-0000-0000-000076040000}"/>
    <cellStyle name="Neutre 10" xfId="1145" xr:uid="{00000000-0005-0000-0000-000077040000}"/>
    <cellStyle name="Neutre 10 2" xfId="1146" xr:uid="{00000000-0005-0000-0000-000078040000}"/>
    <cellStyle name="Neutre 11" xfId="1147" xr:uid="{00000000-0005-0000-0000-000079040000}"/>
    <cellStyle name="Neutre 11 2" xfId="1148" xr:uid="{00000000-0005-0000-0000-00007A040000}"/>
    <cellStyle name="Neutre 12" xfId="1149" xr:uid="{00000000-0005-0000-0000-00007B040000}"/>
    <cellStyle name="Neutre 12 2" xfId="1150" xr:uid="{00000000-0005-0000-0000-00007C040000}"/>
    <cellStyle name="Neutre 13" xfId="1151" xr:uid="{00000000-0005-0000-0000-00007D040000}"/>
    <cellStyle name="Neutre 2" xfId="1152" xr:uid="{00000000-0005-0000-0000-00007E040000}"/>
    <cellStyle name="Neutre 2 2" xfId="1153" xr:uid="{00000000-0005-0000-0000-00007F040000}"/>
    <cellStyle name="Neutre 2 3" xfId="1154" xr:uid="{00000000-0005-0000-0000-000080040000}"/>
    <cellStyle name="Neutre 3" xfId="1155" xr:uid="{00000000-0005-0000-0000-000081040000}"/>
    <cellStyle name="Neutre 3 2" xfId="1156" xr:uid="{00000000-0005-0000-0000-000082040000}"/>
    <cellStyle name="Neutre 4" xfId="1157" xr:uid="{00000000-0005-0000-0000-000083040000}"/>
    <cellStyle name="Neutre 4 2" xfId="1158" xr:uid="{00000000-0005-0000-0000-000084040000}"/>
    <cellStyle name="Neutre 5" xfId="1159" xr:uid="{00000000-0005-0000-0000-000085040000}"/>
    <cellStyle name="Neutre 5 2" xfId="1160" xr:uid="{00000000-0005-0000-0000-000086040000}"/>
    <cellStyle name="Neutre 6" xfId="1161" xr:uid="{00000000-0005-0000-0000-000087040000}"/>
    <cellStyle name="Neutre 6 2" xfId="1162" xr:uid="{00000000-0005-0000-0000-000088040000}"/>
    <cellStyle name="Neutre 7" xfId="1163" xr:uid="{00000000-0005-0000-0000-000089040000}"/>
    <cellStyle name="Neutre 7 2" xfId="1164" xr:uid="{00000000-0005-0000-0000-00008A040000}"/>
    <cellStyle name="Neutre 8" xfId="1165" xr:uid="{00000000-0005-0000-0000-00008B040000}"/>
    <cellStyle name="Neutre 8 2" xfId="1166" xr:uid="{00000000-0005-0000-0000-00008C040000}"/>
    <cellStyle name="Neutre 9" xfId="1167" xr:uid="{00000000-0005-0000-0000-00008D040000}"/>
    <cellStyle name="Neutre 9 2" xfId="1168" xr:uid="{00000000-0005-0000-0000-00008E040000}"/>
    <cellStyle name="Normal" xfId="0" builtinId="0"/>
    <cellStyle name="Normal 10" xfId="1169" xr:uid="{00000000-0005-0000-0000-000090040000}"/>
    <cellStyle name="Normal 10 2" xfId="1170" xr:uid="{00000000-0005-0000-0000-000091040000}"/>
    <cellStyle name="Normal 10 2 2" xfId="1171" xr:uid="{00000000-0005-0000-0000-000092040000}"/>
    <cellStyle name="Normal 10 2 2 2" xfId="1172" xr:uid="{00000000-0005-0000-0000-000093040000}"/>
    <cellStyle name="Normal 10 2 3" xfId="1173" xr:uid="{00000000-0005-0000-0000-000094040000}"/>
    <cellStyle name="Normal 10 2 3 2" xfId="1174" xr:uid="{00000000-0005-0000-0000-000095040000}"/>
    <cellStyle name="Normal 10 2 4" xfId="1175" xr:uid="{00000000-0005-0000-0000-000096040000}"/>
    <cellStyle name="Normal 10 3" xfId="1176" xr:uid="{00000000-0005-0000-0000-000097040000}"/>
    <cellStyle name="Normal 10 3 2" xfId="1177" xr:uid="{00000000-0005-0000-0000-000098040000}"/>
    <cellStyle name="Normal 10 4" xfId="1178" xr:uid="{00000000-0005-0000-0000-000099040000}"/>
    <cellStyle name="Normal 10 4 2" xfId="1179" xr:uid="{00000000-0005-0000-0000-00009A040000}"/>
    <cellStyle name="Normal 10 5" xfId="1180" xr:uid="{00000000-0005-0000-0000-00009B040000}"/>
    <cellStyle name="Normal 11" xfId="1181" xr:uid="{00000000-0005-0000-0000-00009C040000}"/>
    <cellStyle name="Normal 11 2" xfId="1182" xr:uid="{00000000-0005-0000-0000-00009D040000}"/>
    <cellStyle name="Normal 11 2 2" xfId="1183" xr:uid="{00000000-0005-0000-0000-00009E040000}"/>
    <cellStyle name="Normal 11 2 2 2" xfId="1184" xr:uid="{00000000-0005-0000-0000-00009F040000}"/>
    <cellStyle name="Normal 11 2 3" xfId="1185" xr:uid="{00000000-0005-0000-0000-0000A0040000}"/>
    <cellStyle name="Normal 11 2 3 2" xfId="1186" xr:uid="{00000000-0005-0000-0000-0000A1040000}"/>
    <cellStyle name="Normal 11 2 4" xfId="1187" xr:uid="{00000000-0005-0000-0000-0000A2040000}"/>
    <cellStyle name="Normal 11 3" xfId="1188" xr:uid="{00000000-0005-0000-0000-0000A3040000}"/>
    <cellStyle name="Normal 11 3 2" xfId="1189" xr:uid="{00000000-0005-0000-0000-0000A4040000}"/>
    <cellStyle name="Normal 11 4" xfId="1190" xr:uid="{00000000-0005-0000-0000-0000A5040000}"/>
    <cellStyle name="Normal 11 4 2" xfId="1191" xr:uid="{00000000-0005-0000-0000-0000A6040000}"/>
    <cellStyle name="Normal 11 5" xfId="1192" xr:uid="{00000000-0005-0000-0000-0000A7040000}"/>
    <cellStyle name="Normal 12" xfId="1193" xr:uid="{00000000-0005-0000-0000-0000A8040000}"/>
    <cellStyle name="Normal 12 2" xfId="1194" xr:uid="{00000000-0005-0000-0000-0000A9040000}"/>
    <cellStyle name="Normal 12 2 2" xfId="1195" xr:uid="{00000000-0005-0000-0000-0000AA040000}"/>
    <cellStyle name="Normal 12 2 2 2" xfId="1196" xr:uid="{00000000-0005-0000-0000-0000AB040000}"/>
    <cellStyle name="Normal 12 2 3" xfId="1197" xr:uid="{00000000-0005-0000-0000-0000AC040000}"/>
    <cellStyle name="Normal 12 2 3 2" xfId="1198" xr:uid="{00000000-0005-0000-0000-0000AD040000}"/>
    <cellStyle name="Normal 12 2 4" xfId="1199" xr:uid="{00000000-0005-0000-0000-0000AE040000}"/>
    <cellStyle name="Normal 12 3" xfId="1200" xr:uid="{00000000-0005-0000-0000-0000AF040000}"/>
    <cellStyle name="Normal 12 3 2" xfId="1201" xr:uid="{00000000-0005-0000-0000-0000B0040000}"/>
    <cellStyle name="Normal 12 4" xfId="1202" xr:uid="{00000000-0005-0000-0000-0000B1040000}"/>
    <cellStyle name="Normal 12 4 2" xfId="1203" xr:uid="{00000000-0005-0000-0000-0000B2040000}"/>
    <cellStyle name="Normal 12 5" xfId="1204" xr:uid="{00000000-0005-0000-0000-0000B3040000}"/>
    <cellStyle name="Normal 13" xfId="1205" xr:uid="{00000000-0005-0000-0000-0000B4040000}"/>
    <cellStyle name="Normal 13 2" xfId="1206" xr:uid="{00000000-0005-0000-0000-0000B5040000}"/>
    <cellStyle name="Normal 13 2 2" xfId="1207" xr:uid="{00000000-0005-0000-0000-0000B6040000}"/>
    <cellStyle name="Normal 13 2 2 2" xfId="1208" xr:uid="{00000000-0005-0000-0000-0000B7040000}"/>
    <cellStyle name="Normal 13 2 3" xfId="1209" xr:uid="{00000000-0005-0000-0000-0000B8040000}"/>
    <cellStyle name="Normal 13 2 3 2" xfId="1210" xr:uid="{00000000-0005-0000-0000-0000B9040000}"/>
    <cellStyle name="Normal 13 2 4" xfId="1211" xr:uid="{00000000-0005-0000-0000-0000BA040000}"/>
    <cellStyle name="Normal 13 3" xfId="1212" xr:uid="{00000000-0005-0000-0000-0000BB040000}"/>
    <cellStyle name="Normal 13 3 2" xfId="1213" xr:uid="{00000000-0005-0000-0000-0000BC040000}"/>
    <cellStyle name="Normal 13 4" xfId="1214" xr:uid="{00000000-0005-0000-0000-0000BD040000}"/>
    <cellStyle name="Normal 13 4 2" xfId="1215" xr:uid="{00000000-0005-0000-0000-0000BE040000}"/>
    <cellStyle name="Normal 13 5" xfId="1216" xr:uid="{00000000-0005-0000-0000-0000BF040000}"/>
    <cellStyle name="Normal 13 6" xfId="1217" xr:uid="{00000000-0005-0000-0000-0000C0040000}"/>
    <cellStyle name="Normal 14" xfId="1218" xr:uid="{00000000-0005-0000-0000-0000C1040000}"/>
    <cellStyle name="Normal 14 2" xfId="1219" xr:uid="{00000000-0005-0000-0000-0000C2040000}"/>
    <cellStyle name="Normal 14 2 2" xfId="1220" xr:uid="{00000000-0005-0000-0000-0000C3040000}"/>
    <cellStyle name="Normal 14 2 2 2" xfId="1221" xr:uid="{00000000-0005-0000-0000-0000C4040000}"/>
    <cellStyle name="Normal 14 2 3" xfId="1222" xr:uid="{00000000-0005-0000-0000-0000C5040000}"/>
    <cellStyle name="Normal 14 2 3 2" xfId="1223" xr:uid="{00000000-0005-0000-0000-0000C6040000}"/>
    <cellStyle name="Normal 14 2 4" xfId="1224" xr:uid="{00000000-0005-0000-0000-0000C7040000}"/>
    <cellStyle name="Normal 14 3" xfId="1225" xr:uid="{00000000-0005-0000-0000-0000C8040000}"/>
    <cellStyle name="Normal 14 3 2" xfId="1226" xr:uid="{00000000-0005-0000-0000-0000C9040000}"/>
    <cellStyle name="Normal 14 4" xfId="1227" xr:uid="{00000000-0005-0000-0000-0000CA040000}"/>
    <cellStyle name="Normal 14 4 2" xfId="1228" xr:uid="{00000000-0005-0000-0000-0000CB040000}"/>
    <cellStyle name="Normal 14 5" xfId="1229" xr:uid="{00000000-0005-0000-0000-0000CC040000}"/>
    <cellStyle name="Normal 15" xfId="1230" xr:uid="{00000000-0005-0000-0000-0000CD040000}"/>
    <cellStyle name="Normal 15 2" xfId="1231" xr:uid="{00000000-0005-0000-0000-0000CE040000}"/>
    <cellStyle name="Normal 15 2 2" xfId="1232" xr:uid="{00000000-0005-0000-0000-0000CF040000}"/>
    <cellStyle name="Normal 15 2 2 2" xfId="1233" xr:uid="{00000000-0005-0000-0000-0000D0040000}"/>
    <cellStyle name="Normal 15 2 3" xfId="1234" xr:uid="{00000000-0005-0000-0000-0000D1040000}"/>
    <cellStyle name="Normal 15 2 3 2" xfId="1235" xr:uid="{00000000-0005-0000-0000-0000D2040000}"/>
    <cellStyle name="Normal 15 2 4" xfId="1236" xr:uid="{00000000-0005-0000-0000-0000D3040000}"/>
    <cellStyle name="Normal 15 3" xfId="1237" xr:uid="{00000000-0005-0000-0000-0000D4040000}"/>
    <cellStyle name="Normal 15 3 2" xfId="1238" xr:uid="{00000000-0005-0000-0000-0000D5040000}"/>
    <cellStyle name="Normal 15 4" xfId="1239" xr:uid="{00000000-0005-0000-0000-0000D6040000}"/>
    <cellStyle name="Normal 15 4 2" xfId="1240" xr:uid="{00000000-0005-0000-0000-0000D7040000}"/>
    <cellStyle name="Normal 15 5" xfId="1241" xr:uid="{00000000-0005-0000-0000-0000D8040000}"/>
    <cellStyle name="Normal 16" xfId="1242" xr:uid="{00000000-0005-0000-0000-0000D9040000}"/>
    <cellStyle name="Normal 16 2" xfId="1243" xr:uid="{00000000-0005-0000-0000-0000DA040000}"/>
    <cellStyle name="Normal 16 2 2" xfId="1244" xr:uid="{00000000-0005-0000-0000-0000DB040000}"/>
    <cellStyle name="Normal 16 2 2 2" xfId="1245" xr:uid="{00000000-0005-0000-0000-0000DC040000}"/>
    <cellStyle name="Normal 16 2 3" xfId="1246" xr:uid="{00000000-0005-0000-0000-0000DD040000}"/>
    <cellStyle name="Normal 16 2 3 2" xfId="1247" xr:uid="{00000000-0005-0000-0000-0000DE040000}"/>
    <cellStyle name="Normal 16 2 4" xfId="1248" xr:uid="{00000000-0005-0000-0000-0000DF040000}"/>
    <cellStyle name="Normal 16 3" xfId="1249" xr:uid="{00000000-0005-0000-0000-0000E0040000}"/>
    <cellStyle name="Normal 16 3 2" xfId="1250" xr:uid="{00000000-0005-0000-0000-0000E1040000}"/>
    <cellStyle name="Normal 16 4" xfId="1251" xr:uid="{00000000-0005-0000-0000-0000E2040000}"/>
    <cellStyle name="Normal 16 4 2" xfId="1252" xr:uid="{00000000-0005-0000-0000-0000E3040000}"/>
    <cellStyle name="Normal 16 5" xfId="1253" xr:uid="{00000000-0005-0000-0000-0000E4040000}"/>
    <cellStyle name="Normal 17" xfId="1254" xr:uid="{00000000-0005-0000-0000-0000E5040000}"/>
    <cellStyle name="Normal 17 2" xfId="1255" xr:uid="{00000000-0005-0000-0000-0000E6040000}"/>
    <cellStyle name="Normal 17 2 2" xfId="1256" xr:uid="{00000000-0005-0000-0000-0000E7040000}"/>
    <cellStyle name="Normal 17 2 2 2" xfId="1257" xr:uid="{00000000-0005-0000-0000-0000E8040000}"/>
    <cellStyle name="Normal 17 2 3" xfId="1258" xr:uid="{00000000-0005-0000-0000-0000E9040000}"/>
    <cellStyle name="Normal 17 2 3 2" xfId="1259" xr:uid="{00000000-0005-0000-0000-0000EA040000}"/>
    <cellStyle name="Normal 17 2 4" xfId="1260" xr:uid="{00000000-0005-0000-0000-0000EB040000}"/>
    <cellStyle name="Normal 17 3" xfId="1261" xr:uid="{00000000-0005-0000-0000-0000EC040000}"/>
    <cellStyle name="Normal 17 3 2" xfId="1262" xr:uid="{00000000-0005-0000-0000-0000ED040000}"/>
    <cellStyle name="Normal 17 4" xfId="1263" xr:uid="{00000000-0005-0000-0000-0000EE040000}"/>
    <cellStyle name="Normal 17 4 2" xfId="1264" xr:uid="{00000000-0005-0000-0000-0000EF040000}"/>
    <cellStyle name="Normal 17 5" xfId="1265" xr:uid="{00000000-0005-0000-0000-0000F0040000}"/>
    <cellStyle name="Normal 17 6" xfId="1266" xr:uid="{00000000-0005-0000-0000-0000F1040000}"/>
    <cellStyle name="Normal 18" xfId="1267" xr:uid="{00000000-0005-0000-0000-0000F2040000}"/>
    <cellStyle name="Normal 18 2" xfId="1268" xr:uid="{00000000-0005-0000-0000-0000F3040000}"/>
    <cellStyle name="Normal 18 2 2" xfId="1269" xr:uid="{00000000-0005-0000-0000-0000F4040000}"/>
    <cellStyle name="Normal 18 2 2 2" xfId="1270" xr:uid="{00000000-0005-0000-0000-0000F5040000}"/>
    <cellStyle name="Normal 18 2 3" xfId="1271" xr:uid="{00000000-0005-0000-0000-0000F6040000}"/>
    <cellStyle name="Normal 18 2 3 2" xfId="1272" xr:uid="{00000000-0005-0000-0000-0000F7040000}"/>
    <cellStyle name="Normal 18 2 4" xfId="1273" xr:uid="{00000000-0005-0000-0000-0000F8040000}"/>
    <cellStyle name="Normal 18 3" xfId="1274" xr:uid="{00000000-0005-0000-0000-0000F9040000}"/>
    <cellStyle name="Normal 18 3 2" xfId="1275" xr:uid="{00000000-0005-0000-0000-0000FA040000}"/>
    <cellStyle name="Normal 18 4" xfId="1276" xr:uid="{00000000-0005-0000-0000-0000FB040000}"/>
    <cellStyle name="Normal 18 4 2" xfId="1277" xr:uid="{00000000-0005-0000-0000-0000FC040000}"/>
    <cellStyle name="Normal 18 5" xfId="1278" xr:uid="{00000000-0005-0000-0000-0000FD040000}"/>
    <cellStyle name="Normal 18 6" xfId="1279" xr:uid="{00000000-0005-0000-0000-0000FE040000}"/>
    <cellStyle name="Normal 19" xfId="1280" xr:uid="{00000000-0005-0000-0000-0000FF040000}"/>
    <cellStyle name="Normal 19 2" xfId="1281" xr:uid="{00000000-0005-0000-0000-000000050000}"/>
    <cellStyle name="Normal 19 2 2" xfId="1282" xr:uid="{00000000-0005-0000-0000-000001050000}"/>
    <cellStyle name="Normal 19 2 2 2" xfId="1283" xr:uid="{00000000-0005-0000-0000-000002050000}"/>
    <cellStyle name="Normal 19 2 3" xfId="1284" xr:uid="{00000000-0005-0000-0000-000003050000}"/>
    <cellStyle name="Normal 19 2 3 2" xfId="1285" xr:uid="{00000000-0005-0000-0000-000004050000}"/>
    <cellStyle name="Normal 19 2 4" xfId="1286" xr:uid="{00000000-0005-0000-0000-000005050000}"/>
    <cellStyle name="Normal 19 3" xfId="1287" xr:uid="{00000000-0005-0000-0000-000006050000}"/>
    <cellStyle name="Normal 19 3 2" xfId="1288" xr:uid="{00000000-0005-0000-0000-000007050000}"/>
    <cellStyle name="Normal 19 4" xfId="1289" xr:uid="{00000000-0005-0000-0000-000008050000}"/>
    <cellStyle name="Normal 19 4 2" xfId="1290" xr:uid="{00000000-0005-0000-0000-000009050000}"/>
    <cellStyle name="Normal 19 5" xfId="1291" xr:uid="{00000000-0005-0000-0000-00000A050000}"/>
    <cellStyle name="Normal 19 6" xfId="1292" xr:uid="{00000000-0005-0000-0000-00000B050000}"/>
    <cellStyle name="Normal 2" xfId="1293" xr:uid="{00000000-0005-0000-0000-00000C050000}"/>
    <cellStyle name="Normal 2 10" xfId="1294" xr:uid="{00000000-0005-0000-0000-00000D050000}"/>
    <cellStyle name="Normal 2 11" xfId="1295" xr:uid="{00000000-0005-0000-0000-00000E050000}"/>
    <cellStyle name="Normal 2 12" xfId="1296" xr:uid="{00000000-0005-0000-0000-00000F050000}"/>
    <cellStyle name="Normal 2 13" xfId="1297" xr:uid="{00000000-0005-0000-0000-000010050000}"/>
    <cellStyle name="Normal 2 14" xfId="1298" xr:uid="{00000000-0005-0000-0000-000011050000}"/>
    <cellStyle name="Normal 2 15" xfId="1299" xr:uid="{00000000-0005-0000-0000-000012050000}"/>
    <cellStyle name="Normal 2 16" xfId="1300" xr:uid="{00000000-0005-0000-0000-000013050000}"/>
    <cellStyle name="Normal 2 2" xfId="1301" xr:uid="{00000000-0005-0000-0000-000014050000}"/>
    <cellStyle name="Normal 2 2 10" xfId="1302" xr:uid="{00000000-0005-0000-0000-000015050000}"/>
    <cellStyle name="Normal 2 2 11" xfId="1303" xr:uid="{00000000-0005-0000-0000-000016050000}"/>
    <cellStyle name="Normal 2 2 12" xfId="1304" xr:uid="{00000000-0005-0000-0000-000017050000}"/>
    <cellStyle name="Normal 2 2 13" xfId="1305" xr:uid="{00000000-0005-0000-0000-000018050000}"/>
    <cellStyle name="Normal 2 2 14" xfId="1306" xr:uid="{00000000-0005-0000-0000-000019050000}"/>
    <cellStyle name="Normal 2 2 15" xfId="1307" xr:uid="{00000000-0005-0000-0000-00001A050000}"/>
    <cellStyle name="Normal 2 2 2" xfId="1308" xr:uid="{00000000-0005-0000-0000-00001B050000}"/>
    <cellStyle name="Normal 2 2 2 2" xfId="1309" xr:uid="{00000000-0005-0000-0000-00001C050000}"/>
    <cellStyle name="Normal 2 2 3" xfId="1310" xr:uid="{00000000-0005-0000-0000-00001D050000}"/>
    <cellStyle name="Normal 2 2 3 2" xfId="1311" xr:uid="{00000000-0005-0000-0000-00001E050000}"/>
    <cellStyle name="Normal 2 2 4" xfId="1312" xr:uid="{00000000-0005-0000-0000-00001F050000}"/>
    <cellStyle name="Normal 2 2 5" xfId="1313" xr:uid="{00000000-0005-0000-0000-000020050000}"/>
    <cellStyle name="Normal 2 2 6" xfId="1314" xr:uid="{00000000-0005-0000-0000-000021050000}"/>
    <cellStyle name="Normal 2 2 7" xfId="1315" xr:uid="{00000000-0005-0000-0000-000022050000}"/>
    <cellStyle name="Normal 2 2 8" xfId="1316" xr:uid="{00000000-0005-0000-0000-000023050000}"/>
    <cellStyle name="Normal 2 2 9" xfId="1317" xr:uid="{00000000-0005-0000-0000-000024050000}"/>
    <cellStyle name="Normal 2 3" xfId="1318" xr:uid="{00000000-0005-0000-0000-000025050000}"/>
    <cellStyle name="Normal 2 3 10" xfId="1319" xr:uid="{00000000-0005-0000-0000-000026050000}"/>
    <cellStyle name="Normal 2 3 11" xfId="1320" xr:uid="{00000000-0005-0000-0000-000027050000}"/>
    <cellStyle name="Normal 2 3 12" xfId="1321" xr:uid="{00000000-0005-0000-0000-000028050000}"/>
    <cellStyle name="Normal 2 3 2" xfId="1322" xr:uid="{00000000-0005-0000-0000-000029050000}"/>
    <cellStyle name="Normal 2 3 2 2" xfId="1323" xr:uid="{00000000-0005-0000-0000-00002A050000}"/>
    <cellStyle name="Normal 2 3 3" xfId="1324" xr:uid="{00000000-0005-0000-0000-00002B050000}"/>
    <cellStyle name="Normal 2 3 3 2" xfId="1325" xr:uid="{00000000-0005-0000-0000-00002C050000}"/>
    <cellStyle name="Normal 2 3 4" xfId="1326" xr:uid="{00000000-0005-0000-0000-00002D050000}"/>
    <cellStyle name="Normal 2 3 5" xfId="1327" xr:uid="{00000000-0005-0000-0000-00002E050000}"/>
    <cellStyle name="Normal 2 3 6" xfId="1328" xr:uid="{00000000-0005-0000-0000-00002F050000}"/>
    <cellStyle name="Normal 2 3 7" xfId="1329" xr:uid="{00000000-0005-0000-0000-000030050000}"/>
    <cellStyle name="Normal 2 3 8" xfId="1330" xr:uid="{00000000-0005-0000-0000-000031050000}"/>
    <cellStyle name="Normal 2 3 9" xfId="1331" xr:uid="{00000000-0005-0000-0000-000032050000}"/>
    <cellStyle name="Normal 2 4" xfId="1332" xr:uid="{00000000-0005-0000-0000-000033050000}"/>
    <cellStyle name="Normal 2 4 2" xfId="1333" xr:uid="{00000000-0005-0000-0000-000034050000}"/>
    <cellStyle name="Normal 2 4 2 2" xfId="1334" xr:uid="{00000000-0005-0000-0000-000035050000}"/>
    <cellStyle name="Normal 2 4 3" xfId="1335" xr:uid="{00000000-0005-0000-0000-000036050000}"/>
    <cellStyle name="Normal 2 4 3 2" xfId="1336" xr:uid="{00000000-0005-0000-0000-000037050000}"/>
    <cellStyle name="Normal 2 4 4" xfId="1337" xr:uid="{00000000-0005-0000-0000-000038050000}"/>
    <cellStyle name="Normal 2 5" xfId="1338" xr:uid="{00000000-0005-0000-0000-000039050000}"/>
    <cellStyle name="Normal 2 5 2" xfId="1339" xr:uid="{00000000-0005-0000-0000-00003A050000}"/>
    <cellStyle name="Normal 2 5 2 2" xfId="1340" xr:uid="{00000000-0005-0000-0000-00003B050000}"/>
    <cellStyle name="Normal 2 5 3" xfId="1341" xr:uid="{00000000-0005-0000-0000-00003C050000}"/>
    <cellStyle name="Normal 2 5 3 2" xfId="1342" xr:uid="{00000000-0005-0000-0000-00003D050000}"/>
    <cellStyle name="Normal 2 5 4" xfId="1343" xr:uid="{00000000-0005-0000-0000-00003E050000}"/>
    <cellStyle name="Normal 2 6" xfId="1344" xr:uid="{00000000-0005-0000-0000-00003F050000}"/>
    <cellStyle name="Normal 2 6 2" xfId="1345" xr:uid="{00000000-0005-0000-0000-000040050000}"/>
    <cellStyle name="Normal 2 7" xfId="1346" xr:uid="{00000000-0005-0000-0000-000041050000}"/>
    <cellStyle name="Normal 2 7 2" xfId="1347" xr:uid="{00000000-0005-0000-0000-000042050000}"/>
    <cellStyle name="Normal 2 8" xfId="1348" xr:uid="{00000000-0005-0000-0000-000043050000}"/>
    <cellStyle name="Normal 2 8 2" xfId="1349" xr:uid="{00000000-0005-0000-0000-000044050000}"/>
    <cellStyle name="Normal 2 9" xfId="1350" xr:uid="{00000000-0005-0000-0000-000045050000}"/>
    <cellStyle name="Normal 20" xfId="1351" xr:uid="{00000000-0005-0000-0000-000046050000}"/>
    <cellStyle name="Normal 20 2" xfId="1352" xr:uid="{00000000-0005-0000-0000-000047050000}"/>
    <cellStyle name="Normal 20 2 2" xfId="1353" xr:uid="{00000000-0005-0000-0000-000048050000}"/>
    <cellStyle name="Normal 20 2 2 2" xfId="1354" xr:uid="{00000000-0005-0000-0000-000049050000}"/>
    <cellStyle name="Normal 20 2 3" xfId="1355" xr:uid="{00000000-0005-0000-0000-00004A050000}"/>
    <cellStyle name="Normal 20 2 3 2" xfId="1356" xr:uid="{00000000-0005-0000-0000-00004B050000}"/>
    <cellStyle name="Normal 20 2 4" xfId="1357" xr:uid="{00000000-0005-0000-0000-00004C050000}"/>
    <cellStyle name="Normal 20 3" xfId="1358" xr:uid="{00000000-0005-0000-0000-00004D050000}"/>
    <cellStyle name="Normal 20 3 2" xfId="1359" xr:uid="{00000000-0005-0000-0000-00004E050000}"/>
    <cellStyle name="Normal 20 4" xfId="1360" xr:uid="{00000000-0005-0000-0000-00004F050000}"/>
    <cellStyle name="Normal 20 4 2" xfId="1361" xr:uid="{00000000-0005-0000-0000-000050050000}"/>
    <cellStyle name="Normal 20 5" xfId="1362" xr:uid="{00000000-0005-0000-0000-000051050000}"/>
    <cellStyle name="Normal 21" xfId="1363" xr:uid="{00000000-0005-0000-0000-000052050000}"/>
    <cellStyle name="Normal 21 2" xfId="1364" xr:uid="{00000000-0005-0000-0000-000053050000}"/>
    <cellStyle name="Normal 21 2 2" xfId="1365" xr:uid="{00000000-0005-0000-0000-000054050000}"/>
    <cellStyle name="Normal 21 2 2 2" xfId="1366" xr:uid="{00000000-0005-0000-0000-000055050000}"/>
    <cellStyle name="Normal 21 2 3" xfId="1367" xr:uid="{00000000-0005-0000-0000-000056050000}"/>
    <cellStyle name="Normal 21 2 3 2" xfId="1368" xr:uid="{00000000-0005-0000-0000-000057050000}"/>
    <cellStyle name="Normal 21 2 4" xfId="1369" xr:uid="{00000000-0005-0000-0000-000058050000}"/>
    <cellStyle name="Normal 21 3" xfId="1370" xr:uid="{00000000-0005-0000-0000-000059050000}"/>
    <cellStyle name="Normal 21 3 2" xfId="1371" xr:uid="{00000000-0005-0000-0000-00005A050000}"/>
    <cellStyle name="Normal 21 4" xfId="1372" xr:uid="{00000000-0005-0000-0000-00005B050000}"/>
    <cellStyle name="Normal 21 4 2" xfId="1373" xr:uid="{00000000-0005-0000-0000-00005C050000}"/>
    <cellStyle name="Normal 21 5" xfId="1374" xr:uid="{00000000-0005-0000-0000-00005D050000}"/>
    <cellStyle name="Normal 22" xfId="1375" xr:uid="{00000000-0005-0000-0000-00005E050000}"/>
    <cellStyle name="Normal 22 2" xfId="1376" xr:uid="{00000000-0005-0000-0000-00005F050000}"/>
    <cellStyle name="Normal 22 2 2" xfId="1377" xr:uid="{00000000-0005-0000-0000-000060050000}"/>
    <cellStyle name="Normal 22 2 2 2" xfId="1378" xr:uid="{00000000-0005-0000-0000-000061050000}"/>
    <cellStyle name="Normal 22 2 3" xfId="1379" xr:uid="{00000000-0005-0000-0000-000062050000}"/>
    <cellStyle name="Normal 22 2 3 2" xfId="1380" xr:uid="{00000000-0005-0000-0000-000063050000}"/>
    <cellStyle name="Normal 22 2 4" xfId="1381" xr:uid="{00000000-0005-0000-0000-000064050000}"/>
    <cellStyle name="Normal 22 3" xfId="1382" xr:uid="{00000000-0005-0000-0000-000065050000}"/>
    <cellStyle name="Normal 22 3 2" xfId="1383" xr:uid="{00000000-0005-0000-0000-000066050000}"/>
    <cellStyle name="Normal 22 4" xfId="1384" xr:uid="{00000000-0005-0000-0000-000067050000}"/>
    <cellStyle name="Normal 22 4 2" xfId="1385" xr:uid="{00000000-0005-0000-0000-000068050000}"/>
    <cellStyle name="Normal 22 5" xfId="1386" xr:uid="{00000000-0005-0000-0000-000069050000}"/>
    <cellStyle name="Normal 23" xfId="1387" xr:uid="{00000000-0005-0000-0000-00006A050000}"/>
    <cellStyle name="Normal 23 2" xfId="1388" xr:uid="{00000000-0005-0000-0000-00006B050000}"/>
    <cellStyle name="Normal 23 2 2" xfId="1389" xr:uid="{00000000-0005-0000-0000-00006C050000}"/>
    <cellStyle name="Normal 23 2 2 2" xfId="1390" xr:uid="{00000000-0005-0000-0000-00006D050000}"/>
    <cellStyle name="Normal 23 2 3" xfId="1391" xr:uid="{00000000-0005-0000-0000-00006E050000}"/>
    <cellStyle name="Normal 23 2 3 2" xfId="1392" xr:uid="{00000000-0005-0000-0000-00006F050000}"/>
    <cellStyle name="Normal 23 2 4" xfId="1393" xr:uid="{00000000-0005-0000-0000-000070050000}"/>
    <cellStyle name="Normal 23 3" xfId="1394" xr:uid="{00000000-0005-0000-0000-000071050000}"/>
    <cellStyle name="Normal 23 3 2" xfId="1395" xr:uid="{00000000-0005-0000-0000-000072050000}"/>
    <cellStyle name="Normal 23 4" xfId="1396" xr:uid="{00000000-0005-0000-0000-000073050000}"/>
    <cellStyle name="Normal 23 4 2" xfId="1397" xr:uid="{00000000-0005-0000-0000-000074050000}"/>
    <cellStyle name="Normal 23 5" xfId="1398" xr:uid="{00000000-0005-0000-0000-000075050000}"/>
    <cellStyle name="Normal 24" xfId="1399" xr:uid="{00000000-0005-0000-0000-000076050000}"/>
    <cellStyle name="Normal 24 2" xfId="1400" xr:uid="{00000000-0005-0000-0000-000077050000}"/>
    <cellStyle name="Normal 24 2 2" xfId="1401" xr:uid="{00000000-0005-0000-0000-000078050000}"/>
    <cellStyle name="Normal 24 2 2 2" xfId="1402" xr:uid="{00000000-0005-0000-0000-000079050000}"/>
    <cellStyle name="Normal 24 2 3" xfId="1403" xr:uid="{00000000-0005-0000-0000-00007A050000}"/>
    <cellStyle name="Normal 24 2 3 2" xfId="1404" xr:uid="{00000000-0005-0000-0000-00007B050000}"/>
    <cellStyle name="Normal 24 2 4" xfId="1405" xr:uid="{00000000-0005-0000-0000-00007C050000}"/>
    <cellStyle name="Normal 24 3" xfId="1406" xr:uid="{00000000-0005-0000-0000-00007D050000}"/>
    <cellStyle name="Normal 24 3 2" xfId="1407" xr:uid="{00000000-0005-0000-0000-00007E050000}"/>
    <cellStyle name="Normal 24 4" xfId="1408" xr:uid="{00000000-0005-0000-0000-00007F050000}"/>
    <cellStyle name="Normal 24 4 2" xfId="1409" xr:uid="{00000000-0005-0000-0000-000080050000}"/>
    <cellStyle name="Normal 24 5" xfId="1410" xr:uid="{00000000-0005-0000-0000-000081050000}"/>
    <cellStyle name="Normal 25" xfId="1411" xr:uid="{00000000-0005-0000-0000-000082050000}"/>
    <cellStyle name="Normal 25 2" xfId="1412" xr:uid="{00000000-0005-0000-0000-000083050000}"/>
    <cellStyle name="Normal 25 2 2" xfId="1413" xr:uid="{00000000-0005-0000-0000-000084050000}"/>
    <cellStyle name="Normal 25 2 2 2" xfId="1414" xr:uid="{00000000-0005-0000-0000-000085050000}"/>
    <cellStyle name="Normal 25 2 3" xfId="1415" xr:uid="{00000000-0005-0000-0000-000086050000}"/>
    <cellStyle name="Normal 25 2 3 2" xfId="1416" xr:uid="{00000000-0005-0000-0000-000087050000}"/>
    <cellStyle name="Normal 25 2 4" xfId="1417" xr:uid="{00000000-0005-0000-0000-000088050000}"/>
    <cellStyle name="Normal 25 3" xfId="1418" xr:uid="{00000000-0005-0000-0000-000089050000}"/>
    <cellStyle name="Normal 25 3 2" xfId="1419" xr:uid="{00000000-0005-0000-0000-00008A050000}"/>
    <cellStyle name="Normal 25 4" xfId="1420" xr:uid="{00000000-0005-0000-0000-00008B050000}"/>
    <cellStyle name="Normal 25 4 2" xfId="1421" xr:uid="{00000000-0005-0000-0000-00008C050000}"/>
    <cellStyle name="Normal 25 5" xfId="1422" xr:uid="{00000000-0005-0000-0000-00008D050000}"/>
    <cellStyle name="Normal 26" xfId="1423" xr:uid="{00000000-0005-0000-0000-00008E050000}"/>
    <cellStyle name="Normal 26 2" xfId="1424" xr:uid="{00000000-0005-0000-0000-00008F050000}"/>
    <cellStyle name="Normal 26 2 2" xfId="1425" xr:uid="{00000000-0005-0000-0000-000090050000}"/>
    <cellStyle name="Normal 26 2 2 2" xfId="1426" xr:uid="{00000000-0005-0000-0000-000091050000}"/>
    <cellStyle name="Normal 26 2 3" xfId="1427" xr:uid="{00000000-0005-0000-0000-000092050000}"/>
    <cellStyle name="Normal 26 2 3 2" xfId="1428" xr:uid="{00000000-0005-0000-0000-000093050000}"/>
    <cellStyle name="Normal 26 2 4" xfId="1429" xr:uid="{00000000-0005-0000-0000-000094050000}"/>
    <cellStyle name="Normal 26 3" xfId="1430" xr:uid="{00000000-0005-0000-0000-000095050000}"/>
    <cellStyle name="Normal 26 3 2" xfId="1431" xr:uid="{00000000-0005-0000-0000-000096050000}"/>
    <cellStyle name="Normal 26 4" xfId="1432" xr:uid="{00000000-0005-0000-0000-000097050000}"/>
    <cellStyle name="Normal 26 4 2" xfId="1433" xr:uid="{00000000-0005-0000-0000-000098050000}"/>
    <cellStyle name="Normal 26 5" xfId="1434" xr:uid="{00000000-0005-0000-0000-000099050000}"/>
    <cellStyle name="Normal 27" xfId="1435" xr:uid="{00000000-0005-0000-0000-00009A050000}"/>
    <cellStyle name="Normal 27 2" xfId="1436" xr:uid="{00000000-0005-0000-0000-00009B050000}"/>
    <cellStyle name="Normal 27 2 2" xfId="1437" xr:uid="{00000000-0005-0000-0000-00009C050000}"/>
    <cellStyle name="Normal 27 2 2 2" xfId="1438" xr:uid="{00000000-0005-0000-0000-00009D050000}"/>
    <cellStyle name="Normal 27 2 3" xfId="1439" xr:uid="{00000000-0005-0000-0000-00009E050000}"/>
    <cellStyle name="Normal 27 2 3 2" xfId="1440" xr:uid="{00000000-0005-0000-0000-00009F050000}"/>
    <cellStyle name="Normal 27 2 4" xfId="1441" xr:uid="{00000000-0005-0000-0000-0000A0050000}"/>
    <cellStyle name="Normal 27 3" xfId="1442" xr:uid="{00000000-0005-0000-0000-0000A1050000}"/>
    <cellStyle name="Normal 27 3 2" xfId="1443" xr:uid="{00000000-0005-0000-0000-0000A2050000}"/>
    <cellStyle name="Normal 27 4" xfId="1444" xr:uid="{00000000-0005-0000-0000-0000A3050000}"/>
    <cellStyle name="Normal 27 4 2" xfId="1445" xr:uid="{00000000-0005-0000-0000-0000A4050000}"/>
    <cellStyle name="Normal 27 5" xfId="1446" xr:uid="{00000000-0005-0000-0000-0000A5050000}"/>
    <cellStyle name="Normal 28" xfId="1447" xr:uid="{00000000-0005-0000-0000-0000A6050000}"/>
    <cellStyle name="Normal 28 2" xfId="1448" xr:uid="{00000000-0005-0000-0000-0000A7050000}"/>
    <cellStyle name="Normal 28 2 2" xfId="1449" xr:uid="{00000000-0005-0000-0000-0000A8050000}"/>
    <cellStyle name="Normal 28 2 2 2" xfId="1450" xr:uid="{00000000-0005-0000-0000-0000A9050000}"/>
    <cellStyle name="Normal 28 2 3" xfId="1451" xr:uid="{00000000-0005-0000-0000-0000AA050000}"/>
    <cellStyle name="Normal 28 2 3 2" xfId="1452" xr:uid="{00000000-0005-0000-0000-0000AB050000}"/>
    <cellStyle name="Normal 28 2 4" xfId="1453" xr:uid="{00000000-0005-0000-0000-0000AC050000}"/>
    <cellStyle name="Normal 28 3" xfId="1454" xr:uid="{00000000-0005-0000-0000-0000AD050000}"/>
    <cellStyle name="Normal 28 3 2" xfId="1455" xr:uid="{00000000-0005-0000-0000-0000AE050000}"/>
    <cellStyle name="Normal 28 4" xfId="1456" xr:uid="{00000000-0005-0000-0000-0000AF050000}"/>
    <cellStyle name="Normal 28 4 2" xfId="1457" xr:uid="{00000000-0005-0000-0000-0000B0050000}"/>
    <cellStyle name="Normal 28 5" xfId="1458" xr:uid="{00000000-0005-0000-0000-0000B1050000}"/>
    <cellStyle name="Normal 29" xfId="1459" xr:uid="{00000000-0005-0000-0000-0000B2050000}"/>
    <cellStyle name="Normal 29 2" xfId="1460" xr:uid="{00000000-0005-0000-0000-0000B3050000}"/>
    <cellStyle name="Normal 29 2 2" xfId="1461" xr:uid="{00000000-0005-0000-0000-0000B4050000}"/>
    <cellStyle name="Normal 29 2 2 2" xfId="1462" xr:uid="{00000000-0005-0000-0000-0000B5050000}"/>
    <cellStyle name="Normal 29 2 3" xfId="1463" xr:uid="{00000000-0005-0000-0000-0000B6050000}"/>
    <cellStyle name="Normal 29 2 3 2" xfId="1464" xr:uid="{00000000-0005-0000-0000-0000B7050000}"/>
    <cellStyle name="Normal 29 2 4" xfId="1465" xr:uid="{00000000-0005-0000-0000-0000B8050000}"/>
    <cellStyle name="Normal 29 3" xfId="1466" xr:uid="{00000000-0005-0000-0000-0000B9050000}"/>
    <cellStyle name="Normal 29 3 2" xfId="1467" xr:uid="{00000000-0005-0000-0000-0000BA050000}"/>
    <cellStyle name="Normal 29 4" xfId="1468" xr:uid="{00000000-0005-0000-0000-0000BB050000}"/>
    <cellStyle name="Normal 29 4 2" xfId="1469" xr:uid="{00000000-0005-0000-0000-0000BC050000}"/>
    <cellStyle name="Normal 29 5" xfId="1470" xr:uid="{00000000-0005-0000-0000-0000BD050000}"/>
    <cellStyle name="Normal 3" xfId="1471" xr:uid="{00000000-0005-0000-0000-0000BE050000}"/>
    <cellStyle name="Normal 3 10" xfId="1472" xr:uid="{00000000-0005-0000-0000-0000BF050000}"/>
    <cellStyle name="Normal 3 11" xfId="1473" xr:uid="{00000000-0005-0000-0000-0000C0050000}"/>
    <cellStyle name="Normal 3 12" xfId="1474" xr:uid="{00000000-0005-0000-0000-0000C1050000}"/>
    <cellStyle name="Normal 3 13" xfId="1475" xr:uid="{00000000-0005-0000-0000-0000C2050000}"/>
    <cellStyle name="Normal 3 2" xfId="1476" xr:uid="{00000000-0005-0000-0000-0000C3050000}"/>
    <cellStyle name="Normal 3 2 2" xfId="1477" xr:uid="{00000000-0005-0000-0000-0000C4050000}"/>
    <cellStyle name="Normal 3 2 2 2" xfId="1478" xr:uid="{00000000-0005-0000-0000-0000C5050000}"/>
    <cellStyle name="Normal 3 2 3" xfId="1479" xr:uid="{00000000-0005-0000-0000-0000C6050000}"/>
    <cellStyle name="Normal 3 2 3 2" xfId="1480" xr:uid="{00000000-0005-0000-0000-0000C7050000}"/>
    <cellStyle name="Normal 3 2 4" xfId="1481" xr:uid="{00000000-0005-0000-0000-0000C8050000}"/>
    <cellStyle name="Normal 3 3" xfId="1482" xr:uid="{00000000-0005-0000-0000-0000C9050000}"/>
    <cellStyle name="Normal 3 3 2" xfId="1483" xr:uid="{00000000-0005-0000-0000-0000CA050000}"/>
    <cellStyle name="Normal 3 4" xfId="1484" xr:uid="{00000000-0005-0000-0000-0000CB050000}"/>
    <cellStyle name="Normal 3 4 2" xfId="1485" xr:uid="{00000000-0005-0000-0000-0000CC050000}"/>
    <cellStyle name="Normal 3 5" xfId="1486" xr:uid="{00000000-0005-0000-0000-0000CD050000}"/>
    <cellStyle name="Normal 3 6" xfId="1487" xr:uid="{00000000-0005-0000-0000-0000CE050000}"/>
    <cellStyle name="Normal 3 7" xfId="1488" xr:uid="{00000000-0005-0000-0000-0000CF050000}"/>
    <cellStyle name="Normal 3 8" xfId="1489" xr:uid="{00000000-0005-0000-0000-0000D0050000}"/>
    <cellStyle name="Normal 3 9" xfId="1490" xr:uid="{00000000-0005-0000-0000-0000D1050000}"/>
    <cellStyle name="Normal 30" xfId="1491" xr:uid="{00000000-0005-0000-0000-0000D2050000}"/>
    <cellStyle name="Normal 30 2" xfId="1492" xr:uid="{00000000-0005-0000-0000-0000D3050000}"/>
    <cellStyle name="Normal 30 2 2" xfId="1493" xr:uid="{00000000-0005-0000-0000-0000D4050000}"/>
    <cellStyle name="Normal 30 2 2 2" xfId="1494" xr:uid="{00000000-0005-0000-0000-0000D5050000}"/>
    <cellStyle name="Normal 30 2 3" xfId="1495" xr:uid="{00000000-0005-0000-0000-0000D6050000}"/>
    <cellStyle name="Normal 30 2 3 2" xfId="1496" xr:uid="{00000000-0005-0000-0000-0000D7050000}"/>
    <cellStyle name="Normal 30 2 4" xfId="1497" xr:uid="{00000000-0005-0000-0000-0000D8050000}"/>
    <cellStyle name="Normal 30 3" xfId="1498" xr:uid="{00000000-0005-0000-0000-0000D9050000}"/>
    <cellStyle name="Normal 30 3 2" xfId="1499" xr:uid="{00000000-0005-0000-0000-0000DA050000}"/>
    <cellStyle name="Normal 30 4" xfId="1500" xr:uid="{00000000-0005-0000-0000-0000DB050000}"/>
    <cellStyle name="Normal 30 4 2" xfId="1501" xr:uid="{00000000-0005-0000-0000-0000DC050000}"/>
    <cellStyle name="Normal 30 5" xfId="1502" xr:uid="{00000000-0005-0000-0000-0000DD050000}"/>
    <cellStyle name="Normal 31" xfId="1503" xr:uid="{00000000-0005-0000-0000-0000DE050000}"/>
    <cellStyle name="Normal 31 2" xfId="1504" xr:uid="{00000000-0005-0000-0000-0000DF050000}"/>
    <cellStyle name="Normal 31 2 2" xfId="1505" xr:uid="{00000000-0005-0000-0000-0000E0050000}"/>
    <cellStyle name="Normal 31 3" xfId="1506" xr:uid="{00000000-0005-0000-0000-0000E1050000}"/>
    <cellStyle name="Normal 31 3 2" xfId="1507" xr:uid="{00000000-0005-0000-0000-0000E2050000}"/>
    <cellStyle name="Normal 31 4" xfId="1508" xr:uid="{00000000-0005-0000-0000-0000E3050000}"/>
    <cellStyle name="Normal 32" xfId="1509" xr:uid="{00000000-0005-0000-0000-0000E4050000}"/>
    <cellStyle name="Normal 32 2" xfId="1510" xr:uid="{00000000-0005-0000-0000-0000E5050000}"/>
    <cellStyle name="Normal 32 2 2" xfId="1511" xr:uid="{00000000-0005-0000-0000-0000E6050000}"/>
    <cellStyle name="Normal 32 3" xfId="1512" xr:uid="{00000000-0005-0000-0000-0000E7050000}"/>
    <cellStyle name="Normal 32 3 2" xfId="1513" xr:uid="{00000000-0005-0000-0000-0000E8050000}"/>
    <cellStyle name="Normal 32 4" xfId="1514" xr:uid="{00000000-0005-0000-0000-0000E9050000}"/>
    <cellStyle name="Normal 33" xfId="1515" xr:uid="{00000000-0005-0000-0000-0000EA050000}"/>
    <cellStyle name="Normal 33 2" xfId="1516" xr:uid="{00000000-0005-0000-0000-0000EB050000}"/>
    <cellStyle name="Normal 33 2 2" xfId="1517" xr:uid="{00000000-0005-0000-0000-0000EC050000}"/>
    <cellStyle name="Normal 33 3" xfId="1518" xr:uid="{00000000-0005-0000-0000-0000ED050000}"/>
    <cellStyle name="Normal 33 3 2" xfId="1519" xr:uid="{00000000-0005-0000-0000-0000EE050000}"/>
    <cellStyle name="Normal 33 4" xfId="1520" xr:uid="{00000000-0005-0000-0000-0000EF050000}"/>
    <cellStyle name="Normal 34" xfId="1521" xr:uid="{00000000-0005-0000-0000-0000F0050000}"/>
    <cellStyle name="Normal 34 2" xfId="1522" xr:uid="{00000000-0005-0000-0000-0000F1050000}"/>
    <cellStyle name="Normal 34 2 2" xfId="1523" xr:uid="{00000000-0005-0000-0000-0000F2050000}"/>
    <cellStyle name="Normal 34 3" xfId="1524" xr:uid="{00000000-0005-0000-0000-0000F3050000}"/>
    <cellStyle name="Normal 34 3 2" xfId="1525" xr:uid="{00000000-0005-0000-0000-0000F4050000}"/>
    <cellStyle name="Normal 34 4" xfId="1526" xr:uid="{00000000-0005-0000-0000-0000F5050000}"/>
    <cellStyle name="Normal 35" xfId="1527" xr:uid="{00000000-0005-0000-0000-0000F6050000}"/>
    <cellStyle name="Normal 35 2" xfId="1528" xr:uid="{00000000-0005-0000-0000-0000F7050000}"/>
    <cellStyle name="Normal 35 2 2" xfId="1529" xr:uid="{00000000-0005-0000-0000-0000F8050000}"/>
    <cellStyle name="Normal 35 3" xfId="1530" xr:uid="{00000000-0005-0000-0000-0000F9050000}"/>
    <cellStyle name="Normal 35 3 2" xfId="1531" xr:uid="{00000000-0005-0000-0000-0000FA050000}"/>
    <cellStyle name="Normal 35 4" xfId="1532" xr:uid="{00000000-0005-0000-0000-0000FB050000}"/>
    <cellStyle name="Normal 36" xfId="1533" xr:uid="{00000000-0005-0000-0000-0000FC050000}"/>
    <cellStyle name="Normal 36 2" xfId="1534" xr:uid="{00000000-0005-0000-0000-0000FD050000}"/>
    <cellStyle name="Normal 36 2 2" xfId="1535" xr:uid="{00000000-0005-0000-0000-0000FE050000}"/>
    <cellStyle name="Normal 36 3" xfId="1536" xr:uid="{00000000-0005-0000-0000-0000FF050000}"/>
    <cellStyle name="Normal 36 3 2" xfId="1537" xr:uid="{00000000-0005-0000-0000-000000060000}"/>
    <cellStyle name="Normal 36 4" xfId="1538" xr:uid="{00000000-0005-0000-0000-000001060000}"/>
    <cellStyle name="Normal 37" xfId="1539" xr:uid="{00000000-0005-0000-0000-000002060000}"/>
    <cellStyle name="Normal 37 2" xfId="1540" xr:uid="{00000000-0005-0000-0000-000003060000}"/>
    <cellStyle name="Normal 37 2 2" xfId="1541" xr:uid="{00000000-0005-0000-0000-000004060000}"/>
    <cellStyle name="Normal 37 3" xfId="1542" xr:uid="{00000000-0005-0000-0000-000005060000}"/>
    <cellStyle name="Normal 37 3 2" xfId="1543" xr:uid="{00000000-0005-0000-0000-000006060000}"/>
    <cellStyle name="Normal 37 4" xfId="1544" xr:uid="{00000000-0005-0000-0000-000007060000}"/>
    <cellStyle name="Normal 38" xfId="1545" xr:uid="{00000000-0005-0000-0000-000008060000}"/>
    <cellStyle name="Normal 38 2" xfId="1546" xr:uid="{00000000-0005-0000-0000-000009060000}"/>
    <cellStyle name="Normal 38 2 2" xfId="1547" xr:uid="{00000000-0005-0000-0000-00000A060000}"/>
    <cellStyle name="Normal 38 3" xfId="1548" xr:uid="{00000000-0005-0000-0000-00000B060000}"/>
    <cellStyle name="Normal 38 3 2" xfId="1549" xr:uid="{00000000-0005-0000-0000-00000C060000}"/>
    <cellStyle name="Normal 38 4" xfId="1550" xr:uid="{00000000-0005-0000-0000-00000D060000}"/>
    <cellStyle name="Normal 39" xfId="1551" xr:uid="{00000000-0005-0000-0000-00000E060000}"/>
    <cellStyle name="Normal 39 2" xfId="1552" xr:uid="{00000000-0005-0000-0000-00000F060000}"/>
    <cellStyle name="Normal 39 2 2" xfId="1553" xr:uid="{00000000-0005-0000-0000-000010060000}"/>
    <cellStyle name="Normal 39 3" xfId="1554" xr:uid="{00000000-0005-0000-0000-000011060000}"/>
    <cellStyle name="Normal 39 3 2" xfId="1555" xr:uid="{00000000-0005-0000-0000-000012060000}"/>
    <cellStyle name="Normal 39 4" xfId="1556" xr:uid="{00000000-0005-0000-0000-000013060000}"/>
    <cellStyle name="Normal 4" xfId="1557" xr:uid="{00000000-0005-0000-0000-000014060000}"/>
    <cellStyle name="Normal 4 10" xfId="1558" xr:uid="{00000000-0005-0000-0000-000015060000}"/>
    <cellStyle name="Normal 4 11" xfId="1559" xr:uid="{00000000-0005-0000-0000-000016060000}"/>
    <cellStyle name="Normal 4 12" xfId="1560" xr:uid="{00000000-0005-0000-0000-000017060000}"/>
    <cellStyle name="Normal 4 2" xfId="1561" xr:uid="{00000000-0005-0000-0000-000018060000}"/>
    <cellStyle name="Normal 4 2 2" xfId="1562" xr:uid="{00000000-0005-0000-0000-000019060000}"/>
    <cellStyle name="Normal 4 2 2 2" xfId="1563" xr:uid="{00000000-0005-0000-0000-00001A060000}"/>
    <cellStyle name="Normal 4 2 3" xfId="1564" xr:uid="{00000000-0005-0000-0000-00001B060000}"/>
    <cellStyle name="Normal 4 2 3 2" xfId="1565" xr:uid="{00000000-0005-0000-0000-00001C060000}"/>
    <cellStyle name="Normal 4 2 4" xfId="1566" xr:uid="{00000000-0005-0000-0000-00001D060000}"/>
    <cellStyle name="Normal 4 3" xfId="1567" xr:uid="{00000000-0005-0000-0000-00001E060000}"/>
    <cellStyle name="Normal 4 3 2" xfId="1568" xr:uid="{00000000-0005-0000-0000-00001F060000}"/>
    <cellStyle name="Normal 4 4" xfId="1569" xr:uid="{00000000-0005-0000-0000-000020060000}"/>
    <cellStyle name="Normal 4 4 2" xfId="1570" xr:uid="{00000000-0005-0000-0000-000021060000}"/>
    <cellStyle name="Normal 4 5" xfId="1571" xr:uid="{00000000-0005-0000-0000-000022060000}"/>
    <cellStyle name="Normal 4 6" xfId="1572" xr:uid="{00000000-0005-0000-0000-000023060000}"/>
    <cellStyle name="Normal 4 7" xfId="1573" xr:uid="{00000000-0005-0000-0000-000024060000}"/>
    <cellStyle name="Normal 4 8" xfId="1574" xr:uid="{00000000-0005-0000-0000-000025060000}"/>
    <cellStyle name="Normal 4 9" xfId="1575" xr:uid="{00000000-0005-0000-0000-000026060000}"/>
    <cellStyle name="Normal 40" xfId="1576" xr:uid="{00000000-0005-0000-0000-000027060000}"/>
    <cellStyle name="Normal 40 2" xfId="1577" xr:uid="{00000000-0005-0000-0000-000028060000}"/>
    <cellStyle name="Normal 41" xfId="1578" xr:uid="{00000000-0005-0000-0000-000029060000}"/>
    <cellStyle name="Normal 41 2" xfId="1579" xr:uid="{00000000-0005-0000-0000-00002A060000}"/>
    <cellStyle name="Normal 42" xfId="1580" xr:uid="{00000000-0005-0000-0000-00002B060000}"/>
    <cellStyle name="Normal 42 2" xfId="1581" xr:uid="{00000000-0005-0000-0000-00002C060000}"/>
    <cellStyle name="Normal 43" xfId="1582" xr:uid="{00000000-0005-0000-0000-00002D060000}"/>
    <cellStyle name="Normal 43 2" xfId="1583" xr:uid="{00000000-0005-0000-0000-00002E060000}"/>
    <cellStyle name="Normal 44" xfId="1584" xr:uid="{00000000-0005-0000-0000-00002F060000}"/>
    <cellStyle name="Normal 44 2" xfId="1585" xr:uid="{00000000-0005-0000-0000-000030060000}"/>
    <cellStyle name="Normal 45" xfId="1586" xr:uid="{00000000-0005-0000-0000-000031060000}"/>
    <cellStyle name="Normal 45 2" xfId="1587" xr:uid="{00000000-0005-0000-0000-000032060000}"/>
    <cellStyle name="Normal 46" xfId="1588" xr:uid="{00000000-0005-0000-0000-000033060000}"/>
    <cellStyle name="Normal 46 2" xfId="1589" xr:uid="{00000000-0005-0000-0000-000034060000}"/>
    <cellStyle name="Normal 47" xfId="1590" xr:uid="{00000000-0005-0000-0000-000035060000}"/>
    <cellStyle name="Normal 47 2" xfId="1591" xr:uid="{00000000-0005-0000-0000-000036060000}"/>
    <cellStyle name="Normal 48" xfId="1592" xr:uid="{00000000-0005-0000-0000-000037060000}"/>
    <cellStyle name="Normal 48 2" xfId="1593" xr:uid="{00000000-0005-0000-0000-000038060000}"/>
    <cellStyle name="Normal 49" xfId="1594" xr:uid="{00000000-0005-0000-0000-000039060000}"/>
    <cellStyle name="Normal 49 2" xfId="1595" xr:uid="{00000000-0005-0000-0000-00003A060000}"/>
    <cellStyle name="Normal 5" xfId="1596" xr:uid="{00000000-0005-0000-0000-00003B060000}"/>
    <cellStyle name="Normal 5 2" xfId="1597" xr:uid="{00000000-0005-0000-0000-00003C060000}"/>
    <cellStyle name="Normal 5 2 2" xfId="1598" xr:uid="{00000000-0005-0000-0000-00003D060000}"/>
    <cellStyle name="Normal 5 2 2 2" xfId="1599" xr:uid="{00000000-0005-0000-0000-00003E060000}"/>
    <cellStyle name="Normal 5 2 3" xfId="1600" xr:uid="{00000000-0005-0000-0000-00003F060000}"/>
    <cellStyle name="Normal 5 2 3 2" xfId="1601" xr:uid="{00000000-0005-0000-0000-000040060000}"/>
    <cellStyle name="Normal 5 2 4" xfId="1602" xr:uid="{00000000-0005-0000-0000-000041060000}"/>
    <cellStyle name="Normal 5 3" xfId="1603" xr:uid="{00000000-0005-0000-0000-000042060000}"/>
    <cellStyle name="Normal 5 3 2" xfId="1604" xr:uid="{00000000-0005-0000-0000-000043060000}"/>
    <cellStyle name="Normal 5 4" xfId="1605" xr:uid="{00000000-0005-0000-0000-000044060000}"/>
    <cellStyle name="Normal 5 4 2" xfId="1606" xr:uid="{00000000-0005-0000-0000-000045060000}"/>
    <cellStyle name="Normal 5 5" xfId="1607" xr:uid="{00000000-0005-0000-0000-000046060000}"/>
    <cellStyle name="Normal 50" xfId="1608" xr:uid="{00000000-0005-0000-0000-000047060000}"/>
    <cellStyle name="Normal 50 2" xfId="1609" xr:uid="{00000000-0005-0000-0000-000048060000}"/>
    <cellStyle name="Normal 51" xfId="1610" xr:uid="{00000000-0005-0000-0000-000049060000}"/>
    <cellStyle name="Normal 51 2" xfId="1611" xr:uid="{00000000-0005-0000-0000-00004A060000}"/>
    <cellStyle name="Normal 52" xfId="1612" xr:uid="{00000000-0005-0000-0000-00004B060000}"/>
    <cellStyle name="Normal 52 2" xfId="1613" xr:uid="{00000000-0005-0000-0000-00004C060000}"/>
    <cellStyle name="Normal 53" xfId="1614" xr:uid="{00000000-0005-0000-0000-00004D060000}"/>
    <cellStyle name="Normal 53 2" xfId="1615" xr:uid="{00000000-0005-0000-0000-00004E060000}"/>
    <cellStyle name="Normal 54" xfId="1616" xr:uid="{00000000-0005-0000-0000-00004F060000}"/>
    <cellStyle name="Normal 54 2" xfId="1617" xr:uid="{00000000-0005-0000-0000-000050060000}"/>
    <cellStyle name="Normal 55" xfId="1618" xr:uid="{00000000-0005-0000-0000-000051060000}"/>
    <cellStyle name="Normal 55 2" xfId="1619" xr:uid="{00000000-0005-0000-0000-000052060000}"/>
    <cellStyle name="Normal 56" xfId="1620" xr:uid="{00000000-0005-0000-0000-000053060000}"/>
    <cellStyle name="Normal 56 2" xfId="1621" xr:uid="{00000000-0005-0000-0000-000054060000}"/>
    <cellStyle name="Normal 57" xfId="1622" xr:uid="{00000000-0005-0000-0000-000055060000}"/>
    <cellStyle name="Normal 57 2" xfId="1623" xr:uid="{00000000-0005-0000-0000-000056060000}"/>
    <cellStyle name="Normal 58" xfId="1624" xr:uid="{00000000-0005-0000-0000-000057060000}"/>
    <cellStyle name="Normal 59" xfId="1625" xr:uid="{00000000-0005-0000-0000-000058060000}"/>
    <cellStyle name="Normal 6" xfId="1626" xr:uid="{00000000-0005-0000-0000-000059060000}"/>
    <cellStyle name="Normal 6 2" xfId="1627" xr:uid="{00000000-0005-0000-0000-00005A060000}"/>
    <cellStyle name="Normal 6 2 2" xfId="1628" xr:uid="{00000000-0005-0000-0000-00005B060000}"/>
    <cellStyle name="Normal 6 2 2 2" xfId="1629" xr:uid="{00000000-0005-0000-0000-00005C060000}"/>
    <cellStyle name="Normal 6 2 3" xfId="1630" xr:uid="{00000000-0005-0000-0000-00005D060000}"/>
    <cellStyle name="Normal 6 2 3 2" xfId="1631" xr:uid="{00000000-0005-0000-0000-00005E060000}"/>
    <cellStyle name="Normal 6 2 4" xfId="1632" xr:uid="{00000000-0005-0000-0000-00005F060000}"/>
    <cellStyle name="Normal 6 3" xfId="1633" xr:uid="{00000000-0005-0000-0000-000060060000}"/>
    <cellStyle name="Normal 6 3 2" xfId="1634" xr:uid="{00000000-0005-0000-0000-000061060000}"/>
    <cellStyle name="Normal 6 4" xfId="1635" xr:uid="{00000000-0005-0000-0000-000062060000}"/>
    <cellStyle name="Normal 6 4 2" xfId="1636" xr:uid="{00000000-0005-0000-0000-000063060000}"/>
    <cellStyle name="Normal 6 5" xfId="1637" xr:uid="{00000000-0005-0000-0000-000064060000}"/>
    <cellStyle name="Normal 60" xfId="1638" xr:uid="{00000000-0005-0000-0000-000065060000}"/>
    <cellStyle name="Normal 61" xfId="1639" xr:uid="{00000000-0005-0000-0000-000066060000}"/>
    <cellStyle name="Normal 62" xfId="1640" xr:uid="{00000000-0005-0000-0000-000067060000}"/>
    <cellStyle name="Normal 63" xfId="1641" xr:uid="{00000000-0005-0000-0000-000068060000}"/>
    <cellStyle name="Normal 64" xfId="1642" xr:uid="{00000000-0005-0000-0000-000069060000}"/>
    <cellStyle name="Normal 65" xfId="1643" xr:uid="{00000000-0005-0000-0000-00006A060000}"/>
    <cellStyle name="Normal 7" xfId="1644" xr:uid="{00000000-0005-0000-0000-00006B060000}"/>
    <cellStyle name="Normal 7 2" xfId="1645" xr:uid="{00000000-0005-0000-0000-00006C060000}"/>
    <cellStyle name="Normal 7 2 2" xfId="1646" xr:uid="{00000000-0005-0000-0000-00006D060000}"/>
    <cellStyle name="Normal 7 2 2 2" xfId="1647" xr:uid="{00000000-0005-0000-0000-00006E060000}"/>
    <cellStyle name="Normal 7 2 3" xfId="1648" xr:uid="{00000000-0005-0000-0000-00006F060000}"/>
    <cellStyle name="Normal 7 2 3 2" xfId="1649" xr:uid="{00000000-0005-0000-0000-000070060000}"/>
    <cellStyle name="Normal 7 2 4" xfId="1650" xr:uid="{00000000-0005-0000-0000-000071060000}"/>
    <cellStyle name="Normal 7 3" xfId="1651" xr:uid="{00000000-0005-0000-0000-000072060000}"/>
    <cellStyle name="Normal 7 3 2" xfId="1652" xr:uid="{00000000-0005-0000-0000-000073060000}"/>
    <cellStyle name="Normal 7 4" xfId="1653" xr:uid="{00000000-0005-0000-0000-000074060000}"/>
    <cellStyle name="Normal 7 4 2" xfId="1654" xr:uid="{00000000-0005-0000-0000-000075060000}"/>
    <cellStyle name="Normal 7 5" xfId="1655" xr:uid="{00000000-0005-0000-0000-000076060000}"/>
    <cellStyle name="Normal 8" xfId="1656" xr:uid="{00000000-0005-0000-0000-000077060000}"/>
    <cellStyle name="Normal 8 2" xfId="1657" xr:uid="{00000000-0005-0000-0000-000078060000}"/>
    <cellStyle name="Normal 8 2 2" xfId="1658" xr:uid="{00000000-0005-0000-0000-000079060000}"/>
    <cellStyle name="Normal 8 2 2 2" xfId="1659" xr:uid="{00000000-0005-0000-0000-00007A060000}"/>
    <cellStyle name="Normal 8 2 3" xfId="1660" xr:uid="{00000000-0005-0000-0000-00007B060000}"/>
    <cellStyle name="Normal 8 2 3 2" xfId="1661" xr:uid="{00000000-0005-0000-0000-00007C060000}"/>
    <cellStyle name="Normal 8 2 4" xfId="1662" xr:uid="{00000000-0005-0000-0000-00007D060000}"/>
    <cellStyle name="Normal 8 3" xfId="1663" xr:uid="{00000000-0005-0000-0000-00007E060000}"/>
    <cellStyle name="Normal 8 3 2" xfId="1664" xr:uid="{00000000-0005-0000-0000-00007F060000}"/>
    <cellStyle name="Normal 8 4" xfId="1665" xr:uid="{00000000-0005-0000-0000-000080060000}"/>
    <cellStyle name="Normal 8 4 2" xfId="1666" xr:uid="{00000000-0005-0000-0000-000081060000}"/>
    <cellStyle name="Normal 8 5" xfId="1667" xr:uid="{00000000-0005-0000-0000-000082060000}"/>
    <cellStyle name="Normal 9" xfId="1668" xr:uid="{00000000-0005-0000-0000-000083060000}"/>
    <cellStyle name="Normal 9 2" xfId="1669" xr:uid="{00000000-0005-0000-0000-000084060000}"/>
    <cellStyle name="Normal 9 2 2" xfId="1670" xr:uid="{00000000-0005-0000-0000-000085060000}"/>
    <cellStyle name="Normal 9 2 2 2" xfId="1671" xr:uid="{00000000-0005-0000-0000-000086060000}"/>
    <cellStyle name="Normal 9 2 3" xfId="1672" xr:uid="{00000000-0005-0000-0000-000087060000}"/>
    <cellStyle name="Normal 9 2 3 2" xfId="1673" xr:uid="{00000000-0005-0000-0000-000088060000}"/>
    <cellStyle name="Normal 9 2 4" xfId="1674" xr:uid="{00000000-0005-0000-0000-000089060000}"/>
    <cellStyle name="Normal 9 3" xfId="1675" xr:uid="{00000000-0005-0000-0000-00008A060000}"/>
    <cellStyle name="Normal 9 3 2" xfId="1676" xr:uid="{00000000-0005-0000-0000-00008B060000}"/>
    <cellStyle name="Normal 9 4" xfId="1677" xr:uid="{00000000-0005-0000-0000-00008C060000}"/>
    <cellStyle name="Normal 9 4 2" xfId="1678" xr:uid="{00000000-0005-0000-0000-00008D060000}"/>
    <cellStyle name="Normal 9 5" xfId="1679" xr:uid="{00000000-0005-0000-0000-00008E060000}"/>
    <cellStyle name="Percent" xfId="2270" xr:uid="{0B980A26-1C99-4336-8E0E-6CDAAC0962F0}"/>
    <cellStyle name="Percent 2" xfId="1680" xr:uid="{00000000-0005-0000-0000-00008F060000}"/>
    <cellStyle name="Percent_Modele Revision" xfId="1681" xr:uid="{00000000-0005-0000-0000-000090060000}"/>
    <cellStyle name="Pourcentage" xfId="1" builtinId="5"/>
    <cellStyle name="Pourcentage 2" xfId="1682" xr:uid="{00000000-0005-0000-0000-000092060000}"/>
    <cellStyle name="Pourcentage 2 2" xfId="1683" xr:uid="{00000000-0005-0000-0000-000093060000}"/>
    <cellStyle name="Pourcentage 2 3" xfId="1684" xr:uid="{00000000-0005-0000-0000-000094060000}"/>
    <cellStyle name="Pourcentage 3" xfId="1685" xr:uid="{00000000-0005-0000-0000-000095060000}"/>
    <cellStyle name="Pourcentage 3 2" xfId="1686" xr:uid="{00000000-0005-0000-0000-000096060000}"/>
    <cellStyle name="Pourcentage 4" xfId="1687" xr:uid="{00000000-0005-0000-0000-000097060000}"/>
    <cellStyle name="Rubrique" xfId="1688" xr:uid="{00000000-0005-0000-0000-000098060000}"/>
    <cellStyle name="Rubrique 10" xfId="1689" xr:uid="{00000000-0005-0000-0000-000099060000}"/>
    <cellStyle name="Rubrique 10 2" xfId="1690" xr:uid="{00000000-0005-0000-0000-00009A060000}"/>
    <cellStyle name="Rubrique 10 2 2" xfId="1691" xr:uid="{00000000-0005-0000-0000-00009B060000}"/>
    <cellStyle name="Rubrique 10 3" xfId="1692" xr:uid="{00000000-0005-0000-0000-00009C060000}"/>
    <cellStyle name="Rubrique 11" xfId="1693" xr:uid="{00000000-0005-0000-0000-00009D060000}"/>
    <cellStyle name="Rubrique 11 2" xfId="1694" xr:uid="{00000000-0005-0000-0000-00009E060000}"/>
    <cellStyle name="Rubrique 2" xfId="1695" xr:uid="{00000000-0005-0000-0000-00009F060000}"/>
    <cellStyle name="Rubrique 2 2" xfId="1696" xr:uid="{00000000-0005-0000-0000-0000A0060000}"/>
    <cellStyle name="Rubrique 2 2 2" xfId="1697" xr:uid="{00000000-0005-0000-0000-0000A1060000}"/>
    <cellStyle name="Rubrique 2 2 2 2" xfId="1698" xr:uid="{00000000-0005-0000-0000-0000A2060000}"/>
    <cellStyle name="Rubrique 2 2 3" xfId="1699" xr:uid="{00000000-0005-0000-0000-0000A3060000}"/>
    <cellStyle name="Rubrique 2 3" xfId="1700" xr:uid="{00000000-0005-0000-0000-0000A4060000}"/>
    <cellStyle name="Rubrique 2 3 2" xfId="1701" xr:uid="{00000000-0005-0000-0000-0000A5060000}"/>
    <cellStyle name="Rubrique 2 3 2 2" xfId="1702" xr:uid="{00000000-0005-0000-0000-0000A6060000}"/>
    <cellStyle name="Rubrique 2 3 3" xfId="1703" xr:uid="{00000000-0005-0000-0000-0000A7060000}"/>
    <cellStyle name="Rubrique 2 4" xfId="1704" xr:uid="{00000000-0005-0000-0000-0000A8060000}"/>
    <cellStyle name="Rubrique 2 4 2" xfId="1705" xr:uid="{00000000-0005-0000-0000-0000A9060000}"/>
    <cellStyle name="Rubrique 3" xfId="1706" xr:uid="{00000000-0005-0000-0000-0000AA060000}"/>
    <cellStyle name="Rubrique 3 2" xfId="1707" xr:uid="{00000000-0005-0000-0000-0000AB060000}"/>
    <cellStyle name="Rubrique 3 2 2" xfId="1708" xr:uid="{00000000-0005-0000-0000-0000AC060000}"/>
    <cellStyle name="Rubrique 3 2 2 2" xfId="1709" xr:uid="{00000000-0005-0000-0000-0000AD060000}"/>
    <cellStyle name="Rubrique 3 2 3" xfId="1710" xr:uid="{00000000-0005-0000-0000-0000AE060000}"/>
    <cellStyle name="Rubrique 3 3" xfId="1711" xr:uid="{00000000-0005-0000-0000-0000AF060000}"/>
    <cellStyle name="Rubrique 3 3 2" xfId="1712" xr:uid="{00000000-0005-0000-0000-0000B0060000}"/>
    <cellStyle name="Rubrique 3 3 2 2" xfId="1713" xr:uid="{00000000-0005-0000-0000-0000B1060000}"/>
    <cellStyle name="Rubrique 3 3 3" xfId="1714" xr:uid="{00000000-0005-0000-0000-0000B2060000}"/>
    <cellStyle name="Rubrique 3 4" xfId="1715" xr:uid="{00000000-0005-0000-0000-0000B3060000}"/>
    <cellStyle name="Rubrique 3 4 2" xfId="1716" xr:uid="{00000000-0005-0000-0000-0000B4060000}"/>
    <cellStyle name="Rubrique 4" xfId="1717" xr:uid="{00000000-0005-0000-0000-0000B5060000}"/>
    <cellStyle name="Rubrique 4 2" xfId="1718" xr:uid="{00000000-0005-0000-0000-0000B6060000}"/>
    <cellStyle name="Rubrique 4 2 2" xfId="1719" xr:uid="{00000000-0005-0000-0000-0000B7060000}"/>
    <cellStyle name="Rubrique 4 2 2 2" xfId="1720" xr:uid="{00000000-0005-0000-0000-0000B8060000}"/>
    <cellStyle name="Rubrique 4 2 3" xfId="1721" xr:uid="{00000000-0005-0000-0000-0000B9060000}"/>
    <cellStyle name="Rubrique 4 3" xfId="1722" xr:uid="{00000000-0005-0000-0000-0000BA060000}"/>
    <cellStyle name="Rubrique 4 3 2" xfId="1723" xr:uid="{00000000-0005-0000-0000-0000BB060000}"/>
    <cellStyle name="Rubrique 4 3 2 2" xfId="1724" xr:uid="{00000000-0005-0000-0000-0000BC060000}"/>
    <cellStyle name="Rubrique 4 3 3" xfId="1725" xr:uid="{00000000-0005-0000-0000-0000BD060000}"/>
    <cellStyle name="Rubrique 4 4" xfId="1726" xr:uid="{00000000-0005-0000-0000-0000BE060000}"/>
    <cellStyle name="Rubrique 4 4 2" xfId="1727" xr:uid="{00000000-0005-0000-0000-0000BF060000}"/>
    <cellStyle name="Rubrique 5" xfId="1728" xr:uid="{00000000-0005-0000-0000-0000C0060000}"/>
    <cellStyle name="Rubrique 5 2" xfId="1729" xr:uid="{00000000-0005-0000-0000-0000C1060000}"/>
    <cellStyle name="Rubrique 5 2 2" xfId="1730" xr:uid="{00000000-0005-0000-0000-0000C2060000}"/>
    <cellStyle name="Rubrique 5 2 2 2" xfId="1731" xr:uid="{00000000-0005-0000-0000-0000C3060000}"/>
    <cellStyle name="Rubrique 5 2 3" xfId="1732" xr:uid="{00000000-0005-0000-0000-0000C4060000}"/>
    <cellStyle name="Rubrique 5 3" xfId="1733" xr:uid="{00000000-0005-0000-0000-0000C5060000}"/>
    <cellStyle name="Rubrique 5 3 2" xfId="1734" xr:uid="{00000000-0005-0000-0000-0000C6060000}"/>
    <cellStyle name="Rubrique 5 3 2 2" xfId="1735" xr:uid="{00000000-0005-0000-0000-0000C7060000}"/>
    <cellStyle name="Rubrique 5 3 3" xfId="1736" xr:uid="{00000000-0005-0000-0000-0000C8060000}"/>
    <cellStyle name="Rubrique 5 4" xfId="1737" xr:uid="{00000000-0005-0000-0000-0000C9060000}"/>
    <cellStyle name="Rubrique 5 4 2" xfId="1738" xr:uid="{00000000-0005-0000-0000-0000CA060000}"/>
    <cellStyle name="Rubrique 6" xfId="1739" xr:uid="{00000000-0005-0000-0000-0000CB060000}"/>
    <cellStyle name="Rubrique 6 2" xfId="1740" xr:uid="{00000000-0005-0000-0000-0000CC060000}"/>
    <cellStyle name="Rubrique 6 2 2" xfId="1741" xr:uid="{00000000-0005-0000-0000-0000CD060000}"/>
    <cellStyle name="Rubrique 6 2 2 2" xfId="1742" xr:uid="{00000000-0005-0000-0000-0000CE060000}"/>
    <cellStyle name="Rubrique 6 2 3" xfId="1743" xr:uid="{00000000-0005-0000-0000-0000CF060000}"/>
    <cellStyle name="Rubrique 6 3" xfId="1744" xr:uid="{00000000-0005-0000-0000-0000D0060000}"/>
    <cellStyle name="Rubrique 6 3 2" xfId="1745" xr:uid="{00000000-0005-0000-0000-0000D1060000}"/>
    <cellStyle name="Rubrique 6 3 2 2" xfId="1746" xr:uid="{00000000-0005-0000-0000-0000D2060000}"/>
    <cellStyle name="Rubrique 6 3 3" xfId="1747" xr:uid="{00000000-0005-0000-0000-0000D3060000}"/>
    <cellStyle name="Rubrique 6 4" xfId="1748" xr:uid="{00000000-0005-0000-0000-0000D4060000}"/>
    <cellStyle name="Rubrique 6 4 2" xfId="1749" xr:uid="{00000000-0005-0000-0000-0000D5060000}"/>
    <cellStyle name="Rubrique 7" xfId="1750" xr:uid="{00000000-0005-0000-0000-0000D6060000}"/>
    <cellStyle name="Rubrique 7 2" xfId="1751" xr:uid="{00000000-0005-0000-0000-0000D7060000}"/>
    <cellStyle name="Rubrique 7 2 2" xfId="1752" xr:uid="{00000000-0005-0000-0000-0000D8060000}"/>
    <cellStyle name="Rubrique 7 2 2 2" xfId="1753" xr:uid="{00000000-0005-0000-0000-0000D9060000}"/>
    <cellStyle name="Rubrique 7 2 3" xfId="1754" xr:uid="{00000000-0005-0000-0000-0000DA060000}"/>
    <cellStyle name="Rubrique 7 3" xfId="1755" xr:uid="{00000000-0005-0000-0000-0000DB060000}"/>
    <cellStyle name="Rubrique 7 3 2" xfId="1756" xr:uid="{00000000-0005-0000-0000-0000DC060000}"/>
    <cellStyle name="Rubrique 7 3 2 2" xfId="1757" xr:uid="{00000000-0005-0000-0000-0000DD060000}"/>
    <cellStyle name="Rubrique 7 3 3" xfId="1758" xr:uid="{00000000-0005-0000-0000-0000DE060000}"/>
    <cellStyle name="Rubrique 7 4" xfId="1759" xr:uid="{00000000-0005-0000-0000-0000DF060000}"/>
    <cellStyle name="Rubrique 7 4 2" xfId="1760" xr:uid="{00000000-0005-0000-0000-0000E0060000}"/>
    <cellStyle name="Rubrique 8" xfId="1761" xr:uid="{00000000-0005-0000-0000-0000E1060000}"/>
    <cellStyle name="Rubrique 8 2" xfId="1762" xr:uid="{00000000-0005-0000-0000-0000E2060000}"/>
    <cellStyle name="Rubrique 8 2 2" xfId="1763" xr:uid="{00000000-0005-0000-0000-0000E3060000}"/>
    <cellStyle name="Rubrique 8 2 2 2" xfId="1764" xr:uid="{00000000-0005-0000-0000-0000E4060000}"/>
    <cellStyle name="Rubrique 8 2 3" xfId="1765" xr:uid="{00000000-0005-0000-0000-0000E5060000}"/>
    <cellStyle name="Rubrique 8 3" xfId="1766" xr:uid="{00000000-0005-0000-0000-0000E6060000}"/>
    <cellStyle name="Rubrique 8 3 2" xfId="1767" xr:uid="{00000000-0005-0000-0000-0000E7060000}"/>
    <cellStyle name="Rubrique 8 3 2 2" xfId="1768" xr:uid="{00000000-0005-0000-0000-0000E8060000}"/>
    <cellStyle name="Rubrique 8 3 3" xfId="1769" xr:uid="{00000000-0005-0000-0000-0000E9060000}"/>
    <cellStyle name="Rubrique 8 4" xfId="1770" xr:uid="{00000000-0005-0000-0000-0000EA060000}"/>
    <cellStyle name="Rubrique 8 4 2" xfId="1771" xr:uid="{00000000-0005-0000-0000-0000EB060000}"/>
    <cellStyle name="Rubrique 9" xfId="1772" xr:uid="{00000000-0005-0000-0000-0000EC060000}"/>
    <cellStyle name="Rubrique 9 2" xfId="1773" xr:uid="{00000000-0005-0000-0000-0000ED060000}"/>
    <cellStyle name="Rubrique 9 2 2" xfId="1774" xr:uid="{00000000-0005-0000-0000-0000EE060000}"/>
    <cellStyle name="Rubrique 9 3" xfId="1775" xr:uid="{00000000-0005-0000-0000-0000EF060000}"/>
    <cellStyle name="Satisfaisant 10" xfId="1776" xr:uid="{00000000-0005-0000-0000-0000F0060000}"/>
    <cellStyle name="Satisfaisant 10 2" xfId="1777" xr:uid="{00000000-0005-0000-0000-0000F1060000}"/>
    <cellStyle name="Satisfaisant 11" xfId="1778" xr:uid="{00000000-0005-0000-0000-0000F2060000}"/>
    <cellStyle name="Satisfaisant 11 2" xfId="1779" xr:uid="{00000000-0005-0000-0000-0000F3060000}"/>
    <cellStyle name="Satisfaisant 12" xfId="1780" xr:uid="{00000000-0005-0000-0000-0000F4060000}"/>
    <cellStyle name="Satisfaisant 12 2" xfId="1781" xr:uid="{00000000-0005-0000-0000-0000F5060000}"/>
    <cellStyle name="Satisfaisant 13" xfId="1782" xr:uid="{00000000-0005-0000-0000-0000F6060000}"/>
    <cellStyle name="Satisfaisant 2" xfId="1783" xr:uid="{00000000-0005-0000-0000-0000F7060000}"/>
    <cellStyle name="Satisfaisant 2 2" xfId="1784" xr:uid="{00000000-0005-0000-0000-0000F8060000}"/>
    <cellStyle name="Satisfaisant 2 3" xfId="1785" xr:uid="{00000000-0005-0000-0000-0000F9060000}"/>
    <cellStyle name="Satisfaisant 3" xfId="1786" xr:uid="{00000000-0005-0000-0000-0000FA060000}"/>
    <cellStyle name="Satisfaisant 3 2" xfId="1787" xr:uid="{00000000-0005-0000-0000-0000FB060000}"/>
    <cellStyle name="Satisfaisant 4" xfId="1788" xr:uid="{00000000-0005-0000-0000-0000FC060000}"/>
    <cellStyle name="Satisfaisant 4 2" xfId="1789" xr:uid="{00000000-0005-0000-0000-0000FD060000}"/>
    <cellStyle name="Satisfaisant 5" xfId="1790" xr:uid="{00000000-0005-0000-0000-0000FE060000}"/>
    <cellStyle name="Satisfaisant 5 2" xfId="1791" xr:uid="{00000000-0005-0000-0000-0000FF060000}"/>
    <cellStyle name="Satisfaisant 6" xfId="1792" xr:uid="{00000000-0005-0000-0000-000000070000}"/>
    <cellStyle name="Satisfaisant 6 2" xfId="1793" xr:uid="{00000000-0005-0000-0000-000001070000}"/>
    <cellStyle name="Satisfaisant 7" xfId="1794" xr:uid="{00000000-0005-0000-0000-000002070000}"/>
    <cellStyle name="Satisfaisant 7 2" xfId="1795" xr:uid="{00000000-0005-0000-0000-000003070000}"/>
    <cellStyle name="Satisfaisant 8" xfId="1796" xr:uid="{00000000-0005-0000-0000-000004070000}"/>
    <cellStyle name="Satisfaisant 8 2" xfId="1797" xr:uid="{00000000-0005-0000-0000-000005070000}"/>
    <cellStyle name="Satisfaisant 9" xfId="1798" xr:uid="{00000000-0005-0000-0000-000006070000}"/>
    <cellStyle name="Satisfaisant 9 2" xfId="1799" xr:uid="{00000000-0005-0000-0000-000007070000}"/>
    <cellStyle name="Sortie 10" xfId="1800" xr:uid="{00000000-0005-0000-0000-000008070000}"/>
    <cellStyle name="Sortie 10 2" xfId="1801" xr:uid="{00000000-0005-0000-0000-000009070000}"/>
    <cellStyle name="Sortie 11" xfId="1802" xr:uid="{00000000-0005-0000-0000-00000A070000}"/>
    <cellStyle name="Sortie 11 2" xfId="1803" xr:uid="{00000000-0005-0000-0000-00000B070000}"/>
    <cellStyle name="Sortie 12" xfId="1804" xr:uid="{00000000-0005-0000-0000-00000C070000}"/>
    <cellStyle name="Sortie 12 2" xfId="1805" xr:uid="{00000000-0005-0000-0000-00000D070000}"/>
    <cellStyle name="Sortie 13" xfId="1806" xr:uid="{00000000-0005-0000-0000-00000E070000}"/>
    <cellStyle name="Sortie 2" xfId="1807" xr:uid="{00000000-0005-0000-0000-00000F070000}"/>
    <cellStyle name="Sortie 2 10" xfId="1808" xr:uid="{00000000-0005-0000-0000-000010070000}"/>
    <cellStyle name="Sortie 2 10 2" xfId="1809" xr:uid="{00000000-0005-0000-0000-000011070000}"/>
    <cellStyle name="Sortie 2 10 2 2" xfId="1810" xr:uid="{00000000-0005-0000-0000-000012070000}"/>
    <cellStyle name="Sortie 2 10 3" xfId="1811" xr:uid="{00000000-0005-0000-0000-000013070000}"/>
    <cellStyle name="Sortie 2 11" xfId="1812" xr:uid="{00000000-0005-0000-0000-000014070000}"/>
    <cellStyle name="Sortie 2 11 2" xfId="1813" xr:uid="{00000000-0005-0000-0000-000015070000}"/>
    <cellStyle name="Sortie 2 2" xfId="1814" xr:uid="{00000000-0005-0000-0000-000016070000}"/>
    <cellStyle name="Sortie 2 2 2" xfId="1815" xr:uid="{00000000-0005-0000-0000-000017070000}"/>
    <cellStyle name="Sortie 2 2 2 2" xfId="1816" xr:uid="{00000000-0005-0000-0000-000018070000}"/>
    <cellStyle name="Sortie 2 2 2 2 2" xfId="1817" xr:uid="{00000000-0005-0000-0000-000019070000}"/>
    <cellStyle name="Sortie 2 2 2 3" xfId="1818" xr:uid="{00000000-0005-0000-0000-00001A070000}"/>
    <cellStyle name="Sortie 2 2 3" xfId="1819" xr:uid="{00000000-0005-0000-0000-00001B070000}"/>
    <cellStyle name="Sortie 2 2 3 2" xfId="1820" xr:uid="{00000000-0005-0000-0000-00001C070000}"/>
    <cellStyle name="Sortie 2 2 3 2 2" xfId="1821" xr:uid="{00000000-0005-0000-0000-00001D070000}"/>
    <cellStyle name="Sortie 2 2 3 3" xfId="1822" xr:uid="{00000000-0005-0000-0000-00001E070000}"/>
    <cellStyle name="Sortie 2 2 4" xfId="1823" xr:uid="{00000000-0005-0000-0000-00001F070000}"/>
    <cellStyle name="Sortie 2 2 4 2" xfId="1824" xr:uid="{00000000-0005-0000-0000-000020070000}"/>
    <cellStyle name="Sortie 2 3" xfId="1825" xr:uid="{00000000-0005-0000-0000-000021070000}"/>
    <cellStyle name="Sortie 2 3 2" xfId="1826" xr:uid="{00000000-0005-0000-0000-000022070000}"/>
    <cellStyle name="Sortie 2 3 2 2" xfId="1827" xr:uid="{00000000-0005-0000-0000-000023070000}"/>
    <cellStyle name="Sortie 2 3 2 2 2" xfId="1828" xr:uid="{00000000-0005-0000-0000-000024070000}"/>
    <cellStyle name="Sortie 2 3 2 3" xfId="1829" xr:uid="{00000000-0005-0000-0000-000025070000}"/>
    <cellStyle name="Sortie 2 3 3" xfId="1830" xr:uid="{00000000-0005-0000-0000-000026070000}"/>
    <cellStyle name="Sortie 2 3 3 2" xfId="1831" xr:uid="{00000000-0005-0000-0000-000027070000}"/>
    <cellStyle name="Sortie 2 3 3 2 2" xfId="1832" xr:uid="{00000000-0005-0000-0000-000028070000}"/>
    <cellStyle name="Sortie 2 3 3 3" xfId="1833" xr:uid="{00000000-0005-0000-0000-000029070000}"/>
    <cellStyle name="Sortie 2 3 4" xfId="1834" xr:uid="{00000000-0005-0000-0000-00002A070000}"/>
    <cellStyle name="Sortie 2 3 4 2" xfId="1835" xr:uid="{00000000-0005-0000-0000-00002B070000}"/>
    <cellStyle name="Sortie 2 4" xfId="1836" xr:uid="{00000000-0005-0000-0000-00002C070000}"/>
    <cellStyle name="Sortie 2 4 2" xfId="1837" xr:uid="{00000000-0005-0000-0000-00002D070000}"/>
    <cellStyle name="Sortie 2 4 2 2" xfId="1838" xr:uid="{00000000-0005-0000-0000-00002E070000}"/>
    <cellStyle name="Sortie 2 4 2 2 2" xfId="1839" xr:uid="{00000000-0005-0000-0000-00002F070000}"/>
    <cellStyle name="Sortie 2 4 2 3" xfId="1840" xr:uid="{00000000-0005-0000-0000-000030070000}"/>
    <cellStyle name="Sortie 2 4 3" xfId="1841" xr:uid="{00000000-0005-0000-0000-000031070000}"/>
    <cellStyle name="Sortie 2 4 3 2" xfId="1842" xr:uid="{00000000-0005-0000-0000-000032070000}"/>
    <cellStyle name="Sortie 2 4 3 2 2" xfId="1843" xr:uid="{00000000-0005-0000-0000-000033070000}"/>
    <cellStyle name="Sortie 2 4 3 3" xfId="1844" xr:uid="{00000000-0005-0000-0000-000034070000}"/>
    <cellStyle name="Sortie 2 4 4" xfId="1845" xr:uid="{00000000-0005-0000-0000-000035070000}"/>
    <cellStyle name="Sortie 2 4 4 2" xfId="1846" xr:uid="{00000000-0005-0000-0000-000036070000}"/>
    <cellStyle name="Sortie 2 5" xfId="1847" xr:uid="{00000000-0005-0000-0000-000037070000}"/>
    <cellStyle name="Sortie 2 5 2" xfId="1848" xr:uid="{00000000-0005-0000-0000-000038070000}"/>
    <cellStyle name="Sortie 2 5 2 2" xfId="1849" xr:uid="{00000000-0005-0000-0000-000039070000}"/>
    <cellStyle name="Sortie 2 5 2 2 2" xfId="1850" xr:uid="{00000000-0005-0000-0000-00003A070000}"/>
    <cellStyle name="Sortie 2 5 2 3" xfId="1851" xr:uid="{00000000-0005-0000-0000-00003B070000}"/>
    <cellStyle name="Sortie 2 5 3" xfId="1852" xr:uid="{00000000-0005-0000-0000-00003C070000}"/>
    <cellStyle name="Sortie 2 5 3 2" xfId="1853" xr:uid="{00000000-0005-0000-0000-00003D070000}"/>
    <cellStyle name="Sortie 2 5 3 2 2" xfId="1854" xr:uid="{00000000-0005-0000-0000-00003E070000}"/>
    <cellStyle name="Sortie 2 5 3 3" xfId="1855" xr:uid="{00000000-0005-0000-0000-00003F070000}"/>
    <cellStyle name="Sortie 2 5 4" xfId="1856" xr:uid="{00000000-0005-0000-0000-000040070000}"/>
    <cellStyle name="Sortie 2 5 4 2" xfId="1857" xr:uid="{00000000-0005-0000-0000-000041070000}"/>
    <cellStyle name="Sortie 2 6" xfId="1858" xr:uid="{00000000-0005-0000-0000-000042070000}"/>
    <cellStyle name="Sortie 2 6 2" xfId="1859" xr:uid="{00000000-0005-0000-0000-000043070000}"/>
    <cellStyle name="Sortie 2 6 2 2" xfId="1860" xr:uid="{00000000-0005-0000-0000-000044070000}"/>
    <cellStyle name="Sortie 2 6 2 2 2" xfId="1861" xr:uid="{00000000-0005-0000-0000-000045070000}"/>
    <cellStyle name="Sortie 2 6 2 3" xfId="1862" xr:uid="{00000000-0005-0000-0000-000046070000}"/>
    <cellStyle name="Sortie 2 6 3" xfId="1863" xr:uid="{00000000-0005-0000-0000-000047070000}"/>
    <cellStyle name="Sortie 2 6 3 2" xfId="1864" xr:uid="{00000000-0005-0000-0000-000048070000}"/>
    <cellStyle name="Sortie 2 6 3 2 2" xfId="1865" xr:uid="{00000000-0005-0000-0000-000049070000}"/>
    <cellStyle name="Sortie 2 6 3 3" xfId="1866" xr:uid="{00000000-0005-0000-0000-00004A070000}"/>
    <cellStyle name="Sortie 2 6 4" xfId="1867" xr:uid="{00000000-0005-0000-0000-00004B070000}"/>
    <cellStyle name="Sortie 2 6 4 2" xfId="1868" xr:uid="{00000000-0005-0000-0000-00004C070000}"/>
    <cellStyle name="Sortie 2 7" xfId="1869" xr:uid="{00000000-0005-0000-0000-00004D070000}"/>
    <cellStyle name="Sortie 2 7 2" xfId="1870" xr:uid="{00000000-0005-0000-0000-00004E070000}"/>
    <cellStyle name="Sortie 2 7 2 2" xfId="1871" xr:uid="{00000000-0005-0000-0000-00004F070000}"/>
    <cellStyle name="Sortie 2 7 2 2 2" xfId="1872" xr:uid="{00000000-0005-0000-0000-000050070000}"/>
    <cellStyle name="Sortie 2 7 2 3" xfId="1873" xr:uid="{00000000-0005-0000-0000-000051070000}"/>
    <cellStyle name="Sortie 2 7 3" xfId="1874" xr:uid="{00000000-0005-0000-0000-000052070000}"/>
    <cellStyle name="Sortie 2 7 3 2" xfId="1875" xr:uid="{00000000-0005-0000-0000-000053070000}"/>
    <cellStyle name="Sortie 2 7 3 2 2" xfId="1876" xr:uid="{00000000-0005-0000-0000-000054070000}"/>
    <cellStyle name="Sortie 2 7 3 3" xfId="1877" xr:uid="{00000000-0005-0000-0000-000055070000}"/>
    <cellStyle name="Sortie 2 7 4" xfId="1878" xr:uid="{00000000-0005-0000-0000-000056070000}"/>
    <cellStyle name="Sortie 2 7 4 2" xfId="1879" xr:uid="{00000000-0005-0000-0000-000057070000}"/>
    <cellStyle name="Sortie 2 8" xfId="1880" xr:uid="{00000000-0005-0000-0000-000058070000}"/>
    <cellStyle name="Sortie 2 8 2" xfId="1881" xr:uid="{00000000-0005-0000-0000-000059070000}"/>
    <cellStyle name="Sortie 2 8 2 2" xfId="1882" xr:uid="{00000000-0005-0000-0000-00005A070000}"/>
    <cellStyle name="Sortie 2 8 2 2 2" xfId="1883" xr:uid="{00000000-0005-0000-0000-00005B070000}"/>
    <cellStyle name="Sortie 2 8 2 3" xfId="1884" xr:uid="{00000000-0005-0000-0000-00005C070000}"/>
    <cellStyle name="Sortie 2 8 3" xfId="1885" xr:uid="{00000000-0005-0000-0000-00005D070000}"/>
    <cellStyle name="Sortie 2 8 3 2" xfId="1886" xr:uid="{00000000-0005-0000-0000-00005E070000}"/>
    <cellStyle name="Sortie 2 8 3 2 2" xfId="1887" xr:uid="{00000000-0005-0000-0000-00005F070000}"/>
    <cellStyle name="Sortie 2 8 3 3" xfId="1888" xr:uid="{00000000-0005-0000-0000-000060070000}"/>
    <cellStyle name="Sortie 2 8 4" xfId="1889" xr:uid="{00000000-0005-0000-0000-000061070000}"/>
    <cellStyle name="Sortie 2 8 4 2" xfId="1890" xr:uid="{00000000-0005-0000-0000-000062070000}"/>
    <cellStyle name="Sortie 2 9" xfId="1891" xr:uid="{00000000-0005-0000-0000-000063070000}"/>
    <cellStyle name="Sortie 2 9 2" xfId="1892" xr:uid="{00000000-0005-0000-0000-000064070000}"/>
    <cellStyle name="Sortie 2 9 2 2" xfId="1893" xr:uid="{00000000-0005-0000-0000-000065070000}"/>
    <cellStyle name="Sortie 2 9 3" xfId="1894" xr:uid="{00000000-0005-0000-0000-000066070000}"/>
    <cellStyle name="Sortie 3" xfId="1895" xr:uid="{00000000-0005-0000-0000-000067070000}"/>
    <cellStyle name="Sortie 3 2" xfId="1896" xr:uid="{00000000-0005-0000-0000-000068070000}"/>
    <cellStyle name="Sortie 4" xfId="1897" xr:uid="{00000000-0005-0000-0000-000069070000}"/>
    <cellStyle name="Sortie 4 2" xfId="1898" xr:uid="{00000000-0005-0000-0000-00006A070000}"/>
    <cellStyle name="Sortie 5" xfId="1899" xr:uid="{00000000-0005-0000-0000-00006B070000}"/>
    <cellStyle name="Sortie 5 2" xfId="1900" xr:uid="{00000000-0005-0000-0000-00006C070000}"/>
    <cellStyle name="Sortie 6" xfId="1901" xr:uid="{00000000-0005-0000-0000-00006D070000}"/>
    <cellStyle name="Sortie 6 2" xfId="1902" xr:uid="{00000000-0005-0000-0000-00006E070000}"/>
    <cellStyle name="Sortie 7" xfId="1903" xr:uid="{00000000-0005-0000-0000-00006F070000}"/>
    <cellStyle name="Sortie 7 2" xfId="1904" xr:uid="{00000000-0005-0000-0000-000070070000}"/>
    <cellStyle name="Sortie 8" xfId="1905" xr:uid="{00000000-0005-0000-0000-000071070000}"/>
    <cellStyle name="Sortie 8 2" xfId="1906" xr:uid="{00000000-0005-0000-0000-000072070000}"/>
    <cellStyle name="Sortie 9" xfId="1907" xr:uid="{00000000-0005-0000-0000-000073070000}"/>
    <cellStyle name="Sortie 9 2" xfId="1908" xr:uid="{00000000-0005-0000-0000-000074070000}"/>
    <cellStyle name="Sous-rubrique" xfId="1909" xr:uid="{00000000-0005-0000-0000-000075070000}"/>
    <cellStyle name="Sous-rubrique 10" xfId="1910" xr:uid="{00000000-0005-0000-0000-000076070000}"/>
    <cellStyle name="Sous-rubrique 10 2" xfId="1911" xr:uid="{00000000-0005-0000-0000-000077070000}"/>
    <cellStyle name="Sous-rubrique 10 2 2" xfId="1912" xr:uid="{00000000-0005-0000-0000-000078070000}"/>
    <cellStyle name="Sous-rubrique 10 3" xfId="1913" xr:uid="{00000000-0005-0000-0000-000079070000}"/>
    <cellStyle name="Sous-rubrique 11" xfId="1914" xr:uid="{00000000-0005-0000-0000-00007A070000}"/>
    <cellStyle name="Sous-rubrique 11 2" xfId="1915" xr:uid="{00000000-0005-0000-0000-00007B070000}"/>
    <cellStyle name="Sous-rubrique 2" xfId="1916" xr:uid="{00000000-0005-0000-0000-00007C070000}"/>
    <cellStyle name="Sous-rubrique 2 2" xfId="1917" xr:uid="{00000000-0005-0000-0000-00007D070000}"/>
    <cellStyle name="Sous-rubrique 2 2 2" xfId="1918" xr:uid="{00000000-0005-0000-0000-00007E070000}"/>
    <cellStyle name="Sous-rubrique 2 2 2 2" xfId="1919" xr:uid="{00000000-0005-0000-0000-00007F070000}"/>
    <cellStyle name="Sous-rubrique 2 2 3" xfId="1920" xr:uid="{00000000-0005-0000-0000-000080070000}"/>
    <cellStyle name="Sous-rubrique 2 3" xfId="1921" xr:uid="{00000000-0005-0000-0000-000081070000}"/>
    <cellStyle name="Sous-rubrique 2 3 2" xfId="1922" xr:uid="{00000000-0005-0000-0000-000082070000}"/>
    <cellStyle name="Sous-rubrique 2 3 2 2" xfId="1923" xr:uid="{00000000-0005-0000-0000-000083070000}"/>
    <cellStyle name="Sous-rubrique 2 3 3" xfId="1924" xr:uid="{00000000-0005-0000-0000-000084070000}"/>
    <cellStyle name="Sous-rubrique 2 4" xfId="1925" xr:uid="{00000000-0005-0000-0000-000085070000}"/>
    <cellStyle name="Sous-rubrique 2 4 2" xfId="1926" xr:uid="{00000000-0005-0000-0000-000086070000}"/>
    <cellStyle name="Sous-rubrique 3" xfId="1927" xr:uid="{00000000-0005-0000-0000-000087070000}"/>
    <cellStyle name="Sous-rubrique 3 2" xfId="1928" xr:uid="{00000000-0005-0000-0000-000088070000}"/>
    <cellStyle name="Sous-rubrique 3 2 2" xfId="1929" xr:uid="{00000000-0005-0000-0000-000089070000}"/>
    <cellStyle name="Sous-rubrique 3 2 2 2" xfId="1930" xr:uid="{00000000-0005-0000-0000-00008A070000}"/>
    <cellStyle name="Sous-rubrique 3 2 3" xfId="1931" xr:uid="{00000000-0005-0000-0000-00008B070000}"/>
    <cellStyle name="Sous-rubrique 3 3" xfId="1932" xr:uid="{00000000-0005-0000-0000-00008C070000}"/>
    <cellStyle name="Sous-rubrique 3 3 2" xfId="1933" xr:uid="{00000000-0005-0000-0000-00008D070000}"/>
    <cellStyle name="Sous-rubrique 3 3 2 2" xfId="1934" xr:uid="{00000000-0005-0000-0000-00008E070000}"/>
    <cellStyle name="Sous-rubrique 3 3 3" xfId="1935" xr:uid="{00000000-0005-0000-0000-00008F070000}"/>
    <cellStyle name="Sous-rubrique 3 4" xfId="1936" xr:uid="{00000000-0005-0000-0000-000090070000}"/>
    <cellStyle name="Sous-rubrique 3 4 2" xfId="1937" xr:uid="{00000000-0005-0000-0000-000091070000}"/>
    <cellStyle name="Sous-rubrique 4" xfId="1938" xr:uid="{00000000-0005-0000-0000-000092070000}"/>
    <cellStyle name="Sous-rubrique 4 2" xfId="1939" xr:uid="{00000000-0005-0000-0000-000093070000}"/>
    <cellStyle name="Sous-rubrique 4 2 2" xfId="1940" xr:uid="{00000000-0005-0000-0000-000094070000}"/>
    <cellStyle name="Sous-rubrique 4 2 2 2" xfId="1941" xr:uid="{00000000-0005-0000-0000-000095070000}"/>
    <cellStyle name="Sous-rubrique 4 2 3" xfId="1942" xr:uid="{00000000-0005-0000-0000-000096070000}"/>
    <cellStyle name="Sous-rubrique 4 3" xfId="1943" xr:uid="{00000000-0005-0000-0000-000097070000}"/>
    <cellStyle name="Sous-rubrique 4 3 2" xfId="1944" xr:uid="{00000000-0005-0000-0000-000098070000}"/>
    <cellStyle name="Sous-rubrique 4 3 2 2" xfId="1945" xr:uid="{00000000-0005-0000-0000-000099070000}"/>
    <cellStyle name="Sous-rubrique 4 3 3" xfId="1946" xr:uid="{00000000-0005-0000-0000-00009A070000}"/>
    <cellStyle name="Sous-rubrique 4 4" xfId="1947" xr:uid="{00000000-0005-0000-0000-00009B070000}"/>
    <cellStyle name="Sous-rubrique 4 4 2" xfId="1948" xr:uid="{00000000-0005-0000-0000-00009C070000}"/>
    <cellStyle name="Sous-rubrique 5" xfId="1949" xr:uid="{00000000-0005-0000-0000-00009D070000}"/>
    <cellStyle name="Sous-rubrique 5 2" xfId="1950" xr:uid="{00000000-0005-0000-0000-00009E070000}"/>
    <cellStyle name="Sous-rubrique 5 2 2" xfId="1951" xr:uid="{00000000-0005-0000-0000-00009F070000}"/>
    <cellStyle name="Sous-rubrique 5 2 2 2" xfId="1952" xr:uid="{00000000-0005-0000-0000-0000A0070000}"/>
    <cellStyle name="Sous-rubrique 5 2 3" xfId="1953" xr:uid="{00000000-0005-0000-0000-0000A1070000}"/>
    <cellStyle name="Sous-rubrique 5 3" xfId="1954" xr:uid="{00000000-0005-0000-0000-0000A2070000}"/>
    <cellStyle name="Sous-rubrique 5 3 2" xfId="1955" xr:uid="{00000000-0005-0000-0000-0000A3070000}"/>
    <cellStyle name="Sous-rubrique 5 3 2 2" xfId="1956" xr:uid="{00000000-0005-0000-0000-0000A4070000}"/>
    <cellStyle name="Sous-rubrique 5 3 3" xfId="1957" xr:uid="{00000000-0005-0000-0000-0000A5070000}"/>
    <cellStyle name="Sous-rubrique 5 4" xfId="1958" xr:uid="{00000000-0005-0000-0000-0000A6070000}"/>
    <cellStyle name="Sous-rubrique 5 4 2" xfId="1959" xr:uid="{00000000-0005-0000-0000-0000A7070000}"/>
    <cellStyle name="Sous-rubrique 6" xfId="1960" xr:uid="{00000000-0005-0000-0000-0000A8070000}"/>
    <cellStyle name="Sous-rubrique 6 2" xfId="1961" xr:uid="{00000000-0005-0000-0000-0000A9070000}"/>
    <cellStyle name="Sous-rubrique 6 2 2" xfId="1962" xr:uid="{00000000-0005-0000-0000-0000AA070000}"/>
    <cellStyle name="Sous-rubrique 6 2 2 2" xfId="1963" xr:uid="{00000000-0005-0000-0000-0000AB070000}"/>
    <cellStyle name="Sous-rubrique 6 2 3" xfId="1964" xr:uid="{00000000-0005-0000-0000-0000AC070000}"/>
    <cellStyle name="Sous-rubrique 6 3" xfId="1965" xr:uid="{00000000-0005-0000-0000-0000AD070000}"/>
    <cellStyle name="Sous-rubrique 6 3 2" xfId="1966" xr:uid="{00000000-0005-0000-0000-0000AE070000}"/>
    <cellStyle name="Sous-rubrique 6 3 2 2" xfId="1967" xr:uid="{00000000-0005-0000-0000-0000AF070000}"/>
    <cellStyle name="Sous-rubrique 6 3 3" xfId="1968" xr:uid="{00000000-0005-0000-0000-0000B0070000}"/>
    <cellStyle name="Sous-rubrique 6 4" xfId="1969" xr:uid="{00000000-0005-0000-0000-0000B1070000}"/>
    <cellStyle name="Sous-rubrique 6 4 2" xfId="1970" xr:uid="{00000000-0005-0000-0000-0000B2070000}"/>
    <cellStyle name="Sous-rubrique 7" xfId="1971" xr:uid="{00000000-0005-0000-0000-0000B3070000}"/>
    <cellStyle name="Sous-rubrique 7 2" xfId="1972" xr:uid="{00000000-0005-0000-0000-0000B4070000}"/>
    <cellStyle name="Sous-rubrique 7 2 2" xfId="1973" xr:uid="{00000000-0005-0000-0000-0000B5070000}"/>
    <cellStyle name="Sous-rubrique 7 2 2 2" xfId="1974" xr:uid="{00000000-0005-0000-0000-0000B6070000}"/>
    <cellStyle name="Sous-rubrique 7 2 3" xfId="1975" xr:uid="{00000000-0005-0000-0000-0000B7070000}"/>
    <cellStyle name="Sous-rubrique 7 3" xfId="1976" xr:uid="{00000000-0005-0000-0000-0000B8070000}"/>
    <cellStyle name="Sous-rubrique 7 3 2" xfId="1977" xr:uid="{00000000-0005-0000-0000-0000B9070000}"/>
    <cellStyle name="Sous-rubrique 7 3 2 2" xfId="1978" xr:uid="{00000000-0005-0000-0000-0000BA070000}"/>
    <cellStyle name="Sous-rubrique 7 3 3" xfId="1979" xr:uid="{00000000-0005-0000-0000-0000BB070000}"/>
    <cellStyle name="Sous-rubrique 7 4" xfId="1980" xr:uid="{00000000-0005-0000-0000-0000BC070000}"/>
    <cellStyle name="Sous-rubrique 7 4 2" xfId="1981" xr:uid="{00000000-0005-0000-0000-0000BD070000}"/>
    <cellStyle name="Sous-rubrique 8" xfId="1982" xr:uid="{00000000-0005-0000-0000-0000BE070000}"/>
    <cellStyle name="Sous-rubrique 8 2" xfId="1983" xr:uid="{00000000-0005-0000-0000-0000BF070000}"/>
    <cellStyle name="Sous-rubrique 8 2 2" xfId="1984" xr:uid="{00000000-0005-0000-0000-0000C0070000}"/>
    <cellStyle name="Sous-rubrique 8 2 2 2" xfId="1985" xr:uid="{00000000-0005-0000-0000-0000C1070000}"/>
    <cellStyle name="Sous-rubrique 8 2 3" xfId="1986" xr:uid="{00000000-0005-0000-0000-0000C2070000}"/>
    <cellStyle name="Sous-rubrique 8 3" xfId="1987" xr:uid="{00000000-0005-0000-0000-0000C3070000}"/>
    <cellStyle name="Sous-rubrique 8 3 2" xfId="1988" xr:uid="{00000000-0005-0000-0000-0000C4070000}"/>
    <cellStyle name="Sous-rubrique 8 3 2 2" xfId="1989" xr:uid="{00000000-0005-0000-0000-0000C5070000}"/>
    <cellStyle name="Sous-rubrique 8 3 3" xfId="1990" xr:uid="{00000000-0005-0000-0000-0000C6070000}"/>
    <cellStyle name="Sous-rubrique 8 4" xfId="1991" xr:uid="{00000000-0005-0000-0000-0000C7070000}"/>
    <cellStyle name="Sous-rubrique 8 4 2" xfId="1992" xr:uid="{00000000-0005-0000-0000-0000C8070000}"/>
    <cellStyle name="Sous-rubrique 9" xfId="1993" xr:uid="{00000000-0005-0000-0000-0000C9070000}"/>
    <cellStyle name="Sous-rubrique 9 2" xfId="1994" xr:uid="{00000000-0005-0000-0000-0000CA070000}"/>
    <cellStyle name="Sous-rubrique 9 2 2" xfId="1995" xr:uid="{00000000-0005-0000-0000-0000CB070000}"/>
    <cellStyle name="Sous-rubrique 9 3" xfId="1996" xr:uid="{00000000-0005-0000-0000-0000CC070000}"/>
    <cellStyle name="Texte explicatif 10" xfId="1997" xr:uid="{00000000-0005-0000-0000-0000CD070000}"/>
    <cellStyle name="Texte explicatif 10 2" xfId="1998" xr:uid="{00000000-0005-0000-0000-0000CE070000}"/>
    <cellStyle name="Texte explicatif 11" xfId="1999" xr:uid="{00000000-0005-0000-0000-0000CF070000}"/>
    <cellStyle name="Texte explicatif 11 2" xfId="2000" xr:uid="{00000000-0005-0000-0000-0000D0070000}"/>
    <cellStyle name="Texte explicatif 12" xfId="2001" xr:uid="{00000000-0005-0000-0000-0000D1070000}"/>
    <cellStyle name="Texte explicatif 12 2" xfId="2002" xr:uid="{00000000-0005-0000-0000-0000D2070000}"/>
    <cellStyle name="Texte explicatif 13" xfId="2003" xr:uid="{00000000-0005-0000-0000-0000D3070000}"/>
    <cellStyle name="Texte explicatif 2" xfId="2004" xr:uid="{00000000-0005-0000-0000-0000D4070000}"/>
    <cellStyle name="Texte explicatif 2 2" xfId="2005" xr:uid="{00000000-0005-0000-0000-0000D5070000}"/>
    <cellStyle name="Texte explicatif 2 3" xfId="2006" xr:uid="{00000000-0005-0000-0000-0000D6070000}"/>
    <cellStyle name="Texte explicatif 3" xfId="2007" xr:uid="{00000000-0005-0000-0000-0000D7070000}"/>
    <cellStyle name="Texte explicatif 3 2" xfId="2008" xr:uid="{00000000-0005-0000-0000-0000D8070000}"/>
    <cellStyle name="Texte explicatif 4" xfId="2009" xr:uid="{00000000-0005-0000-0000-0000D9070000}"/>
    <cellStyle name="Texte explicatif 4 2" xfId="2010" xr:uid="{00000000-0005-0000-0000-0000DA070000}"/>
    <cellStyle name="Texte explicatif 5" xfId="2011" xr:uid="{00000000-0005-0000-0000-0000DB070000}"/>
    <cellStyle name="Texte explicatif 5 2" xfId="2012" xr:uid="{00000000-0005-0000-0000-0000DC070000}"/>
    <cellStyle name="Texte explicatif 6" xfId="2013" xr:uid="{00000000-0005-0000-0000-0000DD070000}"/>
    <cellStyle name="Texte explicatif 6 2" xfId="2014" xr:uid="{00000000-0005-0000-0000-0000DE070000}"/>
    <cellStyle name="Texte explicatif 7" xfId="2015" xr:uid="{00000000-0005-0000-0000-0000DF070000}"/>
    <cellStyle name="Texte explicatif 7 2" xfId="2016" xr:uid="{00000000-0005-0000-0000-0000E0070000}"/>
    <cellStyle name="Texte explicatif 8" xfId="2017" xr:uid="{00000000-0005-0000-0000-0000E1070000}"/>
    <cellStyle name="Texte explicatif 8 2" xfId="2018" xr:uid="{00000000-0005-0000-0000-0000E2070000}"/>
    <cellStyle name="Texte explicatif 9" xfId="2019" xr:uid="{00000000-0005-0000-0000-0000E3070000}"/>
    <cellStyle name="Texte explicatif 9 2" xfId="2020" xr:uid="{00000000-0005-0000-0000-0000E4070000}"/>
    <cellStyle name="Titre 1 10" xfId="2041" xr:uid="{00000000-0005-0000-0000-0000FD070000}"/>
    <cellStyle name="Titre 1 10 2" xfId="2042" xr:uid="{00000000-0005-0000-0000-0000FE070000}"/>
    <cellStyle name="Titre 1 11" xfId="2043" xr:uid="{00000000-0005-0000-0000-0000FF070000}"/>
    <cellStyle name="Titre 1 11 2" xfId="2044" xr:uid="{00000000-0005-0000-0000-000000080000}"/>
    <cellStyle name="Titre 1 12" xfId="2045" xr:uid="{00000000-0005-0000-0000-000001080000}"/>
    <cellStyle name="Titre 1 12 2" xfId="2046" xr:uid="{00000000-0005-0000-0000-000002080000}"/>
    <cellStyle name="Titre 1 13" xfId="2047" xr:uid="{00000000-0005-0000-0000-000003080000}"/>
    <cellStyle name="Titre 1 2" xfId="2048" xr:uid="{00000000-0005-0000-0000-000004080000}"/>
    <cellStyle name="Titre 1 2 2" xfId="2049" xr:uid="{00000000-0005-0000-0000-000005080000}"/>
    <cellStyle name="Titre 1 2 3" xfId="2050" xr:uid="{00000000-0005-0000-0000-000006080000}"/>
    <cellStyle name="Titre 1 3" xfId="2051" xr:uid="{00000000-0005-0000-0000-000007080000}"/>
    <cellStyle name="Titre 1 3 2" xfId="2052" xr:uid="{00000000-0005-0000-0000-000008080000}"/>
    <cellStyle name="Titre 1 4" xfId="2053" xr:uid="{00000000-0005-0000-0000-000009080000}"/>
    <cellStyle name="Titre 1 4 2" xfId="2054" xr:uid="{00000000-0005-0000-0000-00000A080000}"/>
    <cellStyle name="Titre 1 5" xfId="2055" xr:uid="{00000000-0005-0000-0000-00000B080000}"/>
    <cellStyle name="Titre 1 5 2" xfId="2056" xr:uid="{00000000-0005-0000-0000-00000C080000}"/>
    <cellStyle name="Titre 1 6" xfId="2057" xr:uid="{00000000-0005-0000-0000-00000D080000}"/>
    <cellStyle name="Titre 1 6 2" xfId="2058" xr:uid="{00000000-0005-0000-0000-00000E080000}"/>
    <cellStyle name="Titre 1 7" xfId="2059" xr:uid="{00000000-0005-0000-0000-00000F080000}"/>
    <cellStyle name="Titre 1 7 2" xfId="2060" xr:uid="{00000000-0005-0000-0000-000010080000}"/>
    <cellStyle name="Titre 1 8" xfId="2061" xr:uid="{00000000-0005-0000-0000-000011080000}"/>
    <cellStyle name="Titre 1 8 2" xfId="2062" xr:uid="{00000000-0005-0000-0000-000012080000}"/>
    <cellStyle name="Titre 1 9" xfId="2063" xr:uid="{00000000-0005-0000-0000-000013080000}"/>
    <cellStyle name="Titre 1 9 2" xfId="2064" xr:uid="{00000000-0005-0000-0000-000014080000}"/>
    <cellStyle name="Titre 10" xfId="2021" xr:uid="{00000000-0005-0000-0000-0000E5070000}"/>
    <cellStyle name="Titre 10 2" xfId="2022" xr:uid="{00000000-0005-0000-0000-0000E6070000}"/>
    <cellStyle name="Titre 11" xfId="2023" xr:uid="{00000000-0005-0000-0000-0000E7070000}"/>
    <cellStyle name="Titre 11 2" xfId="2024" xr:uid="{00000000-0005-0000-0000-0000E8070000}"/>
    <cellStyle name="Titre 12" xfId="2025" xr:uid="{00000000-0005-0000-0000-0000E9070000}"/>
    <cellStyle name="Titre 12 2" xfId="2026" xr:uid="{00000000-0005-0000-0000-0000EA070000}"/>
    <cellStyle name="Titre 13" xfId="2027" xr:uid="{00000000-0005-0000-0000-0000EB070000}"/>
    <cellStyle name="Titre 2" xfId="2028" xr:uid="{00000000-0005-0000-0000-0000EC070000}"/>
    <cellStyle name="Titre 2 10" xfId="2065" xr:uid="{00000000-0005-0000-0000-000015080000}"/>
    <cellStyle name="Titre 2 10 2" xfId="2066" xr:uid="{00000000-0005-0000-0000-000016080000}"/>
    <cellStyle name="Titre 2 11" xfId="2067" xr:uid="{00000000-0005-0000-0000-000017080000}"/>
    <cellStyle name="Titre 2 11 2" xfId="2068" xr:uid="{00000000-0005-0000-0000-000018080000}"/>
    <cellStyle name="Titre 2 12" xfId="2069" xr:uid="{00000000-0005-0000-0000-000019080000}"/>
    <cellStyle name="Titre 2 12 2" xfId="2070" xr:uid="{00000000-0005-0000-0000-00001A080000}"/>
    <cellStyle name="Titre 2 13" xfId="2071" xr:uid="{00000000-0005-0000-0000-00001B080000}"/>
    <cellStyle name="Titre 2 2" xfId="2072" xr:uid="{00000000-0005-0000-0000-0000ED070000}"/>
    <cellStyle name="Titre 2 2 2" xfId="2073" xr:uid="{00000000-0005-0000-0000-00001D080000}"/>
    <cellStyle name="Titre 2 2 3" xfId="2074" xr:uid="{00000000-0005-0000-0000-00001E080000}"/>
    <cellStyle name="Titre 2 3" xfId="2075" xr:uid="{00000000-0005-0000-0000-0000EE070000}"/>
    <cellStyle name="Titre 2 3 2" xfId="2076" xr:uid="{00000000-0005-0000-0000-000020080000}"/>
    <cellStyle name="Titre 2 4" xfId="2077" xr:uid="{00000000-0005-0000-0000-000021080000}"/>
    <cellStyle name="Titre 2 4 2" xfId="2078" xr:uid="{00000000-0005-0000-0000-000022080000}"/>
    <cellStyle name="Titre 2 5" xfId="2079" xr:uid="{00000000-0005-0000-0000-000023080000}"/>
    <cellStyle name="Titre 2 5 2" xfId="2080" xr:uid="{00000000-0005-0000-0000-000024080000}"/>
    <cellStyle name="Titre 2 6" xfId="2081" xr:uid="{00000000-0005-0000-0000-000025080000}"/>
    <cellStyle name="Titre 2 6 2" xfId="2082" xr:uid="{00000000-0005-0000-0000-000026080000}"/>
    <cellStyle name="Titre 2 7" xfId="2083" xr:uid="{00000000-0005-0000-0000-000027080000}"/>
    <cellStyle name="Titre 2 7 2" xfId="2084" xr:uid="{00000000-0005-0000-0000-000028080000}"/>
    <cellStyle name="Titre 2 8" xfId="2085" xr:uid="{00000000-0005-0000-0000-000029080000}"/>
    <cellStyle name="Titre 2 8 2" xfId="2086" xr:uid="{00000000-0005-0000-0000-00002A080000}"/>
    <cellStyle name="Titre 2 9" xfId="2087" xr:uid="{00000000-0005-0000-0000-00002B080000}"/>
    <cellStyle name="Titre 2 9 2" xfId="2088" xr:uid="{00000000-0005-0000-0000-00002C080000}"/>
    <cellStyle name="Titre 3" xfId="2029" xr:uid="{00000000-0005-0000-0000-0000EF070000}"/>
    <cellStyle name="Titre 3 10" xfId="2089" xr:uid="{00000000-0005-0000-0000-00002D080000}"/>
    <cellStyle name="Titre 3 10 2" xfId="2090" xr:uid="{00000000-0005-0000-0000-00002E080000}"/>
    <cellStyle name="Titre 3 11" xfId="2091" xr:uid="{00000000-0005-0000-0000-00002F080000}"/>
    <cellStyle name="Titre 3 11 2" xfId="2092" xr:uid="{00000000-0005-0000-0000-000030080000}"/>
    <cellStyle name="Titre 3 12" xfId="2093" xr:uid="{00000000-0005-0000-0000-000031080000}"/>
    <cellStyle name="Titre 3 12 2" xfId="2094" xr:uid="{00000000-0005-0000-0000-000032080000}"/>
    <cellStyle name="Titre 3 13" xfId="2095" xr:uid="{00000000-0005-0000-0000-000033080000}"/>
    <cellStyle name="Titre 3 2" xfId="2096" xr:uid="{00000000-0005-0000-0000-0000F0070000}"/>
    <cellStyle name="Titre 3 2 2" xfId="2097" xr:uid="{00000000-0005-0000-0000-000035080000}"/>
    <cellStyle name="Titre 3 2 3" xfId="2098" xr:uid="{00000000-0005-0000-0000-000036080000}"/>
    <cellStyle name="Titre 3 3" xfId="2099" xr:uid="{00000000-0005-0000-0000-000037080000}"/>
    <cellStyle name="Titre 3 3 2" xfId="2100" xr:uid="{00000000-0005-0000-0000-000038080000}"/>
    <cellStyle name="Titre 3 4" xfId="2101" xr:uid="{00000000-0005-0000-0000-000039080000}"/>
    <cellStyle name="Titre 3 4 2" xfId="2102" xr:uid="{00000000-0005-0000-0000-00003A080000}"/>
    <cellStyle name="Titre 3 5" xfId="2103" xr:uid="{00000000-0005-0000-0000-00003B080000}"/>
    <cellStyle name="Titre 3 5 2" xfId="2104" xr:uid="{00000000-0005-0000-0000-00003C080000}"/>
    <cellStyle name="Titre 3 6" xfId="2105" xr:uid="{00000000-0005-0000-0000-00003D080000}"/>
    <cellStyle name="Titre 3 6 2" xfId="2106" xr:uid="{00000000-0005-0000-0000-00003E080000}"/>
    <cellStyle name="Titre 3 7" xfId="2107" xr:uid="{00000000-0005-0000-0000-00003F080000}"/>
    <cellStyle name="Titre 3 7 2" xfId="2108" xr:uid="{00000000-0005-0000-0000-000040080000}"/>
    <cellStyle name="Titre 3 8" xfId="2109" xr:uid="{00000000-0005-0000-0000-000041080000}"/>
    <cellStyle name="Titre 3 8 2" xfId="2110" xr:uid="{00000000-0005-0000-0000-000042080000}"/>
    <cellStyle name="Titre 3 9" xfId="2111" xr:uid="{00000000-0005-0000-0000-000043080000}"/>
    <cellStyle name="Titre 3 9 2" xfId="2112" xr:uid="{00000000-0005-0000-0000-000044080000}"/>
    <cellStyle name="Titre 4" xfId="2030" xr:uid="{00000000-0005-0000-0000-0000F1070000}"/>
    <cellStyle name="Titre 4 10" xfId="2113" xr:uid="{00000000-0005-0000-0000-000045080000}"/>
    <cellStyle name="Titre 4 10 2" xfId="2114" xr:uid="{00000000-0005-0000-0000-000046080000}"/>
    <cellStyle name="Titre 4 11" xfId="2115" xr:uid="{00000000-0005-0000-0000-000047080000}"/>
    <cellStyle name="Titre 4 11 2" xfId="2116" xr:uid="{00000000-0005-0000-0000-000048080000}"/>
    <cellStyle name="Titre 4 12" xfId="2117" xr:uid="{00000000-0005-0000-0000-000049080000}"/>
    <cellStyle name="Titre 4 12 2" xfId="2118" xr:uid="{00000000-0005-0000-0000-00004A080000}"/>
    <cellStyle name="Titre 4 13" xfId="2119" xr:uid="{00000000-0005-0000-0000-00004B080000}"/>
    <cellStyle name="Titre 4 2" xfId="2120" xr:uid="{00000000-0005-0000-0000-0000F2070000}"/>
    <cellStyle name="Titre 4 2 2" xfId="2121" xr:uid="{00000000-0005-0000-0000-00004D080000}"/>
    <cellStyle name="Titre 4 2 3" xfId="2122" xr:uid="{00000000-0005-0000-0000-00004E080000}"/>
    <cellStyle name="Titre 4 3" xfId="2123" xr:uid="{00000000-0005-0000-0000-00004F080000}"/>
    <cellStyle name="Titre 4 3 2" xfId="2124" xr:uid="{00000000-0005-0000-0000-000050080000}"/>
    <cellStyle name="Titre 4 4" xfId="2125" xr:uid="{00000000-0005-0000-0000-000051080000}"/>
    <cellStyle name="Titre 4 4 2" xfId="2126" xr:uid="{00000000-0005-0000-0000-000052080000}"/>
    <cellStyle name="Titre 4 5" xfId="2127" xr:uid="{00000000-0005-0000-0000-000053080000}"/>
    <cellStyle name="Titre 4 5 2" xfId="2128" xr:uid="{00000000-0005-0000-0000-000054080000}"/>
    <cellStyle name="Titre 4 6" xfId="2129" xr:uid="{00000000-0005-0000-0000-000055080000}"/>
    <cellStyle name="Titre 4 6 2" xfId="2130" xr:uid="{00000000-0005-0000-0000-000056080000}"/>
    <cellStyle name="Titre 4 7" xfId="2131" xr:uid="{00000000-0005-0000-0000-000057080000}"/>
    <cellStyle name="Titre 4 7 2" xfId="2132" xr:uid="{00000000-0005-0000-0000-000058080000}"/>
    <cellStyle name="Titre 4 8" xfId="2133" xr:uid="{00000000-0005-0000-0000-000059080000}"/>
    <cellStyle name="Titre 4 8 2" xfId="2134" xr:uid="{00000000-0005-0000-0000-00005A080000}"/>
    <cellStyle name="Titre 4 9" xfId="2135" xr:uid="{00000000-0005-0000-0000-00005B080000}"/>
    <cellStyle name="Titre 4 9 2" xfId="2136" xr:uid="{00000000-0005-0000-0000-00005C080000}"/>
    <cellStyle name="Titre 5" xfId="2031" xr:uid="{00000000-0005-0000-0000-0000F3070000}"/>
    <cellStyle name="Titre 5 2" xfId="2032" xr:uid="{00000000-0005-0000-0000-0000F4070000}"/>
    <cellStyle name="Titre 6" xfId="2033" xr:uid="{00000000-0005-0000-0000-0000F5070000}"/>
    <cellStyle name="Titre 6 2" xfId="2034" xr:uid="{00000000-0005-0000-0000-0000F6070000}"/>
    <cellStyle name="Titre 7" xfId="2035" xr:uid="{00000000-0005-0000-0000-0000F7070000}"/>
    <cellStyle name="Titre 7 2" xfId="2036" xr:uid="{00000000-0005-0000-0000-0000F8070000}"/>
    <cellStyle name="Titre 8" xfId="2037" xr:uid="{00000000-0005-0000-0000-0000F9070000}"/>
    <cellStyle name="Titre 8 2" xfId="2038" xr:uid="{00000000-0005-0000-0000-0000FA070000}"/>
    <cellStyle name="Titre 9" xfId="2039" xr:uid="{00000000-0005-0000-0000-0000FB070000}"/>
    <cellStyle name="Titre 9 2" xfId="2040" xr:uid="{00000000-0005-0000-0000-0000FC070000}"/>
    <cellStyle name="Total 10" xfId="2137" xr:uid="{00000000-0005-0000-0000-00005D080000}"/>
    <cellStyle name="Total 10 2" xfId="2138" xr:uid="{00000000-0005-0000-0000-00005E080000}"/>
    <cellStyle name="Total 11" xfId="2139" xr:uid="{00000000-0005-0000-0000-00005F080000}"/>
    <cellStyle name="Total 11 2" xfId="2140" xr:uid="{00000000-0005-0000-0000-000060080000}"/>
    <cellStyle name="Total 12" xfId="2141" xr:uid="{00000000-0005-0000-0000-000061080000}"/>
    <cellStyle name="Total 12 2" xfId="2142" xr:uid="{00000000-0005-0000-0000-000062080000}"/>
    <cellStyle name="Total 13" xfId="2143" xr:uid="{00000000-0005-0000-0000-000063080000}"/>
    <cellStyle name="Total 2" xfId="2144" xr:uid="{00000000-0005-0000-0000-000064080000}"/>
    <cellStyle name="Total 2 10" xfId="2145" xr:uid="{00000000-0005-0000-0000-000065080000}"/>
    <cellStyle name="Total 2 10 2" xfId="2146" xr:uid="{00000000-0005-0000-0000-000066080000}"/>
    <cellStyle name="Total 2 10 2 2" xfId="2147" xr:uid="{00000000-0005-0000-0000-000067080000}"/>
    <cellStyle name="Total 2 10 3" xfId="2148" xr:uid="{00000000-0005-0000-0000-000068080000}"/>
    <cellStyle name="Total 2 11" xfId="2149" xr:uid="{00000000-0005-0000-0000-000069080000}"/>
    <cellStyle name="Total 2 11 2" xfId="2150" xr:uid="{00000000-0005-0000-0000-00006A080000}"/>
    <cellStyle name="Total 2 2" xfId="2151" xr:uid="{00000000-0005-0000-0000-00006B080000}"/>
    <cellStyle name="Total 2 2 2" xfId="2152" xr:uid="{00000000-0005-0000-0000-00006C080000}"/>
    <cellStyle name="Total 2 2 2 2" xfId="2153" xr:uid="{00000000-0005-0000-0000-00006D080000}"/>
    <cellStyle name="Total 2 2 2 2 2" xfId="2154" xr:uid="{00000000-0005-0000-0000-00006E080000}"/>
    <cellStyle name="Total 2 2 2 3" xfId="2155" xr:uid="{00000000-0005-0000-0000-00006F080000}"/>
    <cellStyle name="Total 2 2 3" xfId="2156" xr:uid="{00000000-0005-0000-0000-000070080000}"/>
    <cellStyle name="Total 2 2 3 2" xfId="2157" xr:uid="{00000000-0005-0000-0000-000071080000}"/>
    <cellStyle name="Total 2 2 3 2 2" xfId="2158" xr:uid="{00000000-0005-0000-0000-000072080000}"/>
    <cellStyle name="Total 2 2 3 3" xfId="2159" xr:uid="{00000000-0005-0000-0000-000073080000}"/>
    <cellStyle name="Total 2 2 4" xfId="2160" xr:uid="{00000000-0005-0000-0000-000074080000}"/>
    <cellStyle name="Total 2 2 4 2" xfId="2161" xr:uid="{00000000-0005-0000-0000-000075080000}"/>
    <cellStyle name="Total 2 3" xfId="2162" xr:uid="{00000000-0005-0000-0000-000076080000}"/>
    <cellStyle name="Total 2 3 2" xfId="2163" xr:uid="{00000000-0005-0000-0000-000077080000}"/>
    <cellStyle name="Total 2 3 2 2" xfId="2164" xr:uid="{00000000-0005-0000-0000-000078080000}"/>
    <cellStyle name="Total 2 3 2 2 2" xfId="2165" xr:uid="{00000000-0005-0000-0000-000079080000}"/>
    <cellStyle name="Total 2 3 2 3" xfId="2166" xr:uid="{00000000-0005-0000-0000-00007A080000}"/>
    <cellStyle name="Total 2 3 3" xfId="2167" xr:uid="{00000000-0005-0000-0000-00007B080000}"/>
    <cellStyle name="Total 2 3 3 2" xfId="2168" xr:uid="{00000000-0005-0000-0000-00007C080000}"/>
    <cellStyle name="Total 2 3 3 2 2" xfId="2169" xr:uid="{00000000-0005-0000-0000-00007D080000}"/>
    <cellStyle name="Total 2 3 3 3" xfId="2170" xr:uid="{00000000-0005-0000-0000-00007E080000}"/>
    <cellStyle name="Total 2 3 4" xfId="2171" xr:uid="{00000000-0005-0000-0000-00007F080000}"/>
    <cellStyle name="Total 2 3 4 2" xfId="2172" xr:uid="{00000000-0005-0000-0000-000080080000}"/>
    <cellStyle name="Total 2 4" xfId="2173" xr:uid="{00000000-0005-0000-0000-000081080000}"/>
    <cellStyle name="Total 2 4 2" xfId="2174" xr:uid="{00000000-0005-0000-0000-000082080000}"/>
    <cellStyle name="Total 2 4 2 2" xfId="2175" xr:uid="{00000000-0005-0000-0000-000083080000}"/>
    <cellStyle name="Total 2 4 2 2 2" xfId="2176" xr:uid="{00000000-0005-0000-0000-000084080000}"/>
    <cellStyle name="Total 2 4 2 3" xfId="2177" xr:uid="{00000000-0005-0000-0000-000085080000}"/>
    <cellStyle name="Total 2 4 3" xfId="2178" xr:uid="{00000000-0005-0000-0000-000086080000}"/>
    <cellStyle name="Total 2 4 3 2" xfId="2179" xr:uid="{00000000-0005-0000-0000-000087080000}"/>
    <cellStyle name="Total 2 4 3 2 2" xfId="2180" xr:uid="{00000000-0005-0000-0000-000088080000}"/>
    <cellStyle name="Total 2 4 3 3" xfId="2181" xr:uid="{00000000-0005-0000-0000-000089080000}"/>
    <cellStyle name="Total 2 4 4" xfId="2182" xr:uid="{00000000-0005-0000-0000-00008A080000}"/>
    <cellStyle name="Total 2 4 4 2" xfId="2183" xr:uid="{00000000-0005-0000-0000-00008B080000}"/>
    <cellStyle name="Total 2 5" xfId="2184" xr:uid="{00000000-0005-0000-0000-00008C080000}"/>
    <cellStyle name="Total 2 5 2" xfId="2185" xr:uid="{00000000-0005-0000-0000-00008D080000}"/>
    <cellStyle name="Total 2 5 2 2" xfId="2186" xr:uid="{00000000-0005-0000-0000-00008E080000}"/>
    <cellStyle name="Total 2 5 2 2 2" xfId="2187" xr:uid="{00000000-0005-0000-0000-00008F080000}"/>
    <cellStyle name="Total 2 5 2 3" xfId="2188" xr:uid="{00000000-0005-0000-0000-000090080000}"/>
    <cellStyle name="Total 2 5 3" xfId="2189" xr:uid="{00000000-0005-0000-0000-000091080000}"/>
    <cellStyle name="Total 2 5 3 2" xfId="2190" xr:uid="{00000000-0005-0000-0000-000092080000}"/>
    <cellStyle name="Total 2 5 3 2 2" xfId="2191" xr:uid="{00000000-0005-0000-0000-000093080000}"/>
    <cellStyle name="Total 2 5 3 3" xfId="2192" xr:uid="{00000000-0005-0000-0000-000094080000}"/>
    <cellStyle name="Total 2 5 4" xfId="2193" xr:uid="{00000000-0005-0000-0000-000095080000}"/>
    <cellStyle name="Total 2 5 4 2" xfId="2194" xr:uid="{00000000-0005-0000-0000-000096080000}"/>
    <cellStyle name="Total 2 6" xfId="2195" xr:uid="{00000000-0005-0000-0000-000097080000}"/>
    <cellStyle name="Total 2 6 2" xfId="2196" xr:uid="{00000000-0005-0000-0000-000098080000}"/>
    <cellStyle name="Total 2 6 2 2" xfId="2197" xr:uid="{00000000-0005-0000-0000-000099080000}"/>
    <cellStyle name="Total 2 6 2 2 2" xfId="2198" xr:uid="{00000000-0005-0000-0000-00009A080000}"/>
    <cellStyle name="Total 2 6 2 3" xfId="2199" xr:uid="{00000000-0005-0000-0000-00009B080000}"/>
    <cellStyle name="Total 2 6 3" xfId="2200" xr:uid="{00000000-0005-0000-0000-00009C080000}"/>
    <cellStyle name="Total 2 6 3 2" xfId="2201" xr:uid="{00000000-0005-0000-0000-00009D080000}"/>
    <cellStyle name="Total 2 6 3 2 2" xfId="2202" xr:uid="{00000000-0005-0000-0000-00009E080000}"/>
    <cellStyle name="Total 2 6 3 3" xfId="2203" xr:uid="{00000000-0005-0000-0000-00009F080000}"/>
    <cellStyle name="Total 2 6 4" xfId="2204" xr:uid="{00000000-0005-0000-0000-0000A0080000}"/>
    <cellStyle name="Total 2 6 4 2" xfId="2205" xr:uid="{00000000-0005-0000-0000-0000A1080000}"/>
    <cellStyle name="Total 2 7" xfId="2206" xr:uid="{00000000-0005-0000-0000-0000A2080000}"/>
    <cellStyle name="Total 2 7 2" xfId="2207" xr:uid="{00000000-0005-0000-0000-0000A3080000}"/>
    <cellStyle name="Total 2 7 2 2" xfId="2208" xr:uid="{00000000-0005-0000-0000-0000A4080000}"/>
    <cellStyle name="Total 2 7 2 2 2" xfId="2209" xr:uid="{00000000-0005-0000-0000-0000A5080000}"/>
    <cellStyle name="Total 2 7 2 3" xfId="2210" xr:uid="{00000000-0005-0000-0000-0000A6080000}"/>
    <cellStyle name="Total 2 7 3" xfId="2211" xr:uid="{00000000-0005-0000-0000-0000A7080000}"/>
    <cellStyle name="Total 2 7 3 2" xfId="2212" xr:uid="{00000000-0005-0000-0000-0000A8080000}"/>
    <cellStyle name="Total 2 7 3 2 2" xfId="2213" xr:uid="{00000000-0005-0000-0000-0000A9080000}"/>
    <cellStyle name="Total 2 7 3 3" xfId="2214" xr:uid="{00000000-0005-0000-0000-0000AA080000}"/>
    <cellStyle name="Total 2 7 4" xfId="2215" xr:uid="{00000000-0005-0000-0000-0000AB080000}"/>
    <cellStyle name="Total 2 7 4 2" xfId="2216" xr:uid="{00000000-0005-0000-0000-0000AC080000}"/>
    <cellStyle name="Total 2 8" xfId="2217" xr:uid="{00000000-0005-0000-0000-0000AD080000}"/>
    <cellStyle name="Total 2 8 2" xfId="2218" xr:uid="{00000000-0005-0000-0000-0000AE080000}"/>
    <cellStyle name="Total 2 8 2 2" xfId="2219" xr:uid="{00000000-0005-0000-0000-0000AF080000}"/>
    <cellStyle name="Total 2 8 2 2 2" xfId="2220" xr:uid="{00000000-0005-0000-0000-0000B0080000}"/>
    <cellStyle name="Total 2 8 2 3" xfId="2221" xr:uid="{00000000-0005-0000-0000-0000B1080000}"/>
    <cellStyle name="Total 2 8 3" xfId="2222" xr:uid="{00000000-0005-0000-0000-0000B2080000}"/>
    <cellStyle name="Total 2 8 3 2" xfId="2223" xr:uid="{00000000-0005-0000-0000-0000B3080000}"/>
    <cellStyle name="Total 2 8 3 2 2" xfId="2224" xr:uid="{00000000-0005-0000-0000-0000B4080000}"/>
    <cellStyle name="Total 2 8 3 3" xfId="2225" xr:uid="{00000000-0005-0000-0000-0000B5080000}"/>
    <cellStyle name="Total 2 8 4" xfId="2226" xr:uid="{00000000-0005-0000-0000-0000B6080000}"/>
    <cellStyle name="Total 2 8 4 2" xfId="2227" xr:uid="{00000000-0005-0000-0000-0000B7080000}"/>
    <cellStyle name="Total 2 9" xfId="2228" xr:uid="{00000000-0005-0000-0000-0000B8080000}"/>
    <cellStyle name="Total 2 9 2" xfId="2229" xr:uid="{00000000-0005-0000-0000-0000B9080000}"/>
    <cellStyle name="Total 2 9 2 2" xfId="2230" xr:uid="{00000000-0005-0000-0000-0000BA080000}"/>
    <cellStyle name="Total 2 9 3" xfId="2231" xr:uid="{00000000-0005-0000-0000-0000BB080000}"/>
    <cellStyle name="Total 3" xfId="2232" xr:uid="{00000000-0005-0000-0000-0000BC080000}"/>
    <cellStyle name="Total 3 2" xfId="2233" xr:uid="{00000000-0005-0000-0000-0000BD080000}"/>
    <cellStyle name="Total 4" xfId="2234" xr:uid="{00000000-0005-0000-0000-0000BE080000}"/>
    <cellStyle name="Total 4 2" xfId="2235" xr:uid="{00000000-0005-0000-0000-0000BF080000}"/>
    <cellStyle name="Total 5" xfId="2236" xr:uid="{00000000-0005-0000-0000-0000C0080000}"/>
    <cellStyle name="Total 5 2" xfId="2237" xr:uid="{00000000-0005-0000-0000-0000C1080000}"/>
    <cellStyle name="Total 6" xfId="2238" xr:uid="{00000000-0005-0000-0000-0000C2080000}"/>
    <cellStyle name="Total 6 2" xfId="2239" xr:uid="{00000000-0005-0000-0000-0000C3080000}"/>
    <cellStyle name="Total 7" xfId="2240" xr:uid="{00000000-0005-0000-0000-0000C4080000}"/>
    <cellStyle name="Total 7 2" xfId="2241" xr:uid="{00000000-0005-0000-0000-0000C5080000}"/>
    <cellStyle name="Total 8" xfId="2242" xr:uid="{00000000-0005-0000-0000-0000C6080000}"/>
    <cellStyle name="Total 8 2" xfId="2243" xr:uid="{00000000-0005-0000-0000-0000C7080000}"/>
    <cellStyle name="Total 9" xfId="2244" xr:uid="{00000000-0005-0000-0000-0000C8080000}"/>
    <cellStyle name="Total 9 2" xfId="2245" xr:uid="{00000000-0005-0000-0000-0000C9080000}"/>
    <cellStyle name="Vérification 10" xfId="2246" xr:uid="{00000000-0005-0000-0000-0000CA080000}"/>
    <cellStyle name="Vérification 10 2" xfId="2247" xr:uid="{00000000-0005-0000-0000-0000CB080000}"/>
    <cellStyle name="Vérification 11" xfId="2248" xr:uid="{00000000-0005-0000-0000-0000CC080000}"/>
    <cellStyle name="Vérification 11 2" xfId="2249" xr:uid="{00000000-0005-0000-0000-0000CD080000}"/>
    <cellStyle name="Vérification 12" xfId="2250" xr:uid="{00000000-0005-0000-0000-0000CE080000}"/>
    <cellStyle name="Vérification 12 2" xfId="2251" xr:uid="{00000000-0005-0000-0000-0000CF080000}"/>
    <cellStyle name="Vérification 13" xfId="2252" xr:uid="{00000000-0005-0000-0000-0000D0080000}"/>
    <cellStyle name="Vérification 2" xfId="2253" xr:uid="{00000000-0005-0000-0000-0000D1080000}"/>
    <cellStyle name="Vérification 2 2" xfId="2254" xr:uid="{00000000-0005-0000-0000-0000D2080000}"/>
    <cellStyle name="Vérification 2 3" xfId="2255" xr:uid="{00000000-0005-0000-0000-0000D3080000}"/>
    <cellStyle name="Vérification 3" xfId="2256" xr:uid="{00000000-0005-0000-0000-0000D4080000}"/>
    <cellStyle name="Vérification 3 2" xfId="2257" xr:uid="{00000000-0005-0000-0000-0000D5080000}"/>
    <cellStyle name="Vérification 4" xfId="2258" xr:uid="{00000000-0005-0000-0000-0000D6080000}"/>
    <cellStyle name="Vérification 4 2" xfId="2259" xr:uid="{00000000-0005-0000-0000-0000D7080000}"/>
    <cellStyle name="Vérification 5" xfId="2260" xr:uid="{00000000-0005-0000-0000-0000D8080000}"/>
    <cellStyle name="Vérification 5 2" xfId="2261" xr:uid="{00000000-0005-0000-0000-0000D9080000}"/>
    <cellStyle name="Vérification 6" xfId="2262" xr:uid="{00000000-0005-0000-0000-0000DA080000}"/>
    <cellStyle name="Vérification 6 2" xfId="2263" xr:uid="{00000000-0005-0000-0000-0000DB080000}"/>
    <cellStyle name="Vérification 7" xfId="2264" xr:uid="{00000000-0005-0000-0000-0000DC080000}"/>
    <cellStyle name="Vérification 7 2" xfId="2265" xr:uid="{00000000-0005-0000-0000-0000DD080000}"/>
    <cellStyle name="Vérification 8" xfId="2266" xr:uid="{00000000-0005-0000-0000-0000DE080000}"/>
    <cellStyle name="Vérification 8 2" xfId="2267" xr:uid="{00000000-0005-0000-0000-0000DF080000}"/>
    <cellStyle name="Vérification 9" xfId="2268" xr:uid="{00000000-0005-0000-0000-0000E0080000}"/>
    <cellStyle name="Vérification 9 2" xfId="2269" xr:uid="{00000000-0005-0000-0000-0000E1080000}"/>
  </cellStyles>
  <dxfs count="577">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auto="1"/>
      </font>
      <fill>
        <patternFill>
          <bgColor theme="0" tint="-0.14996795556505021"/>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ndense val="0"/>
        <extend val="0"/>
        <color rgb="FF9C0006"/>
      </font>
      <fill>
        <patternFill>
          <bgColor rgb="FFFFC7CE"/>
        </patternFill>
      </fill>
    </dxf>
    <dxf>
      <font>
        <color auto="1"/>
      </font>
      <fill>
        <patternFill>
          <bgColor rgb="FFD8D8D8"/>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auto="1"/>
      </font>
      <fill>
        <patternFill>
          <bgColor theme="0" tint="-0.14996795556505021"/>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auto="1"/>
      </font>
      <fill>
        <patternFill>
          <bgColor rgb="FFD8D8D8"/>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auto="1"/>
      </font>
      <fill>
        <patternFill>
          <bgColor rgb="FFD8D8D8"/>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lor auto="1"/>
      </font>
      <fill>
        <patternFill>
          <bgColor theme="0" tint="-0.14996795556505021"/>
        </patternFill>
      </fill>
    </dxf>
    <dxf>
      <font>
        <color rgb="FF006100"/>
      </font>
      <fill>
        <patternFill>
          <bgColor rgb="FFC6EFCE"/>
        </patternFill>
      </fill>
    </dxf>
    <dxf>
      <font>
        <color auto="1"/>
      </font>
      <fill>
        <patternFill>
          <bgColor theme="0" tint="-0.14996795556505021"/>
        </patternFill>
      </fill>
    </dxf>
    <dxf>
      <font>
        <condense val="0"/>
        <extend val="0"/>
        <color rgb="FF9C0006"/>
      </font>
      <fill>
        <patternFill>
          <bgColor rgb="FFFFC7CE"/>
        </patternFill>
      </fill>
    </dxf>
    <dxf>
      <font>
        <color auto="1"/>
      </font>
      <fill>
        <patternFill>
          <bgColor rgb="FFD8D8D8"/>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ndense val="0"/>
        <extend val="0"/>
        <color rgb="FF9C0006"/>
      </font>
      <fill>
        <patternFill>
          <bgColor rgb="FFFFC7CE"/>
        </patternFill>
      </fill>
    </dxf>
    <dxf>
      <font>
        <color auto="1"/>
      </font>
      <fill>
        <patternFill>
          <bgColor theme="0" tint="-0.14996795556505021"/>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ndense val="0"/>
        <extend val="0"/>
        <color rgb="FF9C0006"/>
      </font>
      <fill>
        <patternFill>
          <bgColor rgb="FFFFC7CE"/>
        </patternFill>
      </fill>
    </dxf>
    <dxf>
      <font>
        <color auto="1"/>
      </font>
      <fill>
        <patternFill>
          <bgColor rgb="FFD8D8D8"/>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auto="1"/>
      </font>
      <fill>
        <patternFill>
          <bgColor theme="0" tint="-0.14996795556505021"/>
        </patternFill>
      </fill>
    </dxf>
    <dxf>
      <font>
        <color rgb="FF006100"/>
      </font>
      <fill>
        <patternFill>
          <bgColor rgb="FFC6EFCE"/>
        </patternFill>
      </fill>
    </dxf>
    <dxf>
      <font>
        <color auto="1"/>
      </font>
      <fill>
        <patternFill>
          <bgColor rgb="FFD8D8D8"/>
        </patternFill>
      </fill>
    </dxf>
    <dxf>
      <font>
        <color auto="1"/>
      </font>
      <fill>
        <patternFill>
          <bgColor rgb="FFD8D8D8"/>
        </patternFill>
      </fill>
    </dxf>
    <dxf>
      <font>
        <color rgb="FF006100"/>
      </font>
      <fill>
        <patternFill>
          <bgColor rgb="FFC6EFCE"/>
        </patternFill>
      </fill>
    </dxf>
    <dxf>
      <font>
        <condense val="0"/>
        <extend val="0"/>
        <color rgb="FF9C0006"/>
      </font>
      <fill>
        <patternFill>
          <bgColor rgb="FFFFC7CE"/>
        </patternFill>
      </fill>
    </dxf>
    <dxf>
      <font>
        <color auto="1"/>
      </font>
      <fill>
        <patternFill>
          <bgColor rgb="FFD8D8D8"/>
        </patternFill>
      </fill>
    </dxf>
    <dxf>
      <font>
        <condense val="0"/>
        <extend val="0"/>
        <color rgb="FF9C0006"/>
      </font>
      <fill>
        <patternFill>
          <bgColor rgb="FFFFC7CE"/>
        </patternFill>
      </fill>
    </dxf>
    <dxf>
      <font>
        <color auto="1"/>
      </font>
      <fill>
        <patternFill>
          <bgColor theme="0" tint="-0.14996795556505021"/>
        </patternFill>
      </fill>
    </dxf>
    <dxf>
      <font>
        <color auto="1"/>
      </font>
      <fill>
        <patternFill>
          <bgColor theme="0" tint="-0.14996795556505021"/>
        </patternFill>
      </fill>
    </dxf>
    <dxf>
      <font>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auto="1"/>
      </font>
      <fill>
        <patternFill>
          <bgColor theme="0" tint="-0.14996795556505021"/>
        </patternFill>
      </fill>
    </dxf>
    <dxf>
      <font>
        <color auto="1"/>
      </font>
      <fill>
        <patternFill>
          <bgColor rgb="FFD8D8D8"/>
        </patternFill>
      </fill>
    </dxf>
    <dxf>
      <font>
        <condense val="0"/>
        <extend val="0"/>
        <color rgb="FF9C0006"/>
      </font>
      <fill>
        <patternFill>
          <bgColor rgb="FFFFC7CE"/>
        </patternFill>
      </fill>
    </dxf>
    <dxf>
      <font>
        <color rgb="FF006100"/>
      </font>
      <fill>
        <patternFill>
          <bgColor rgb="FFC6EF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Pc0374/Budget%202005/Budget%202004/Mod_Pr&#233;vsions%20Production/Mod_Projection%20distribution%20cr&#233;dit%202004.xls" TargetMode="External"/><Relationship Id="rId1" Type="http://schemas.openxmlformats.org/officeDocument/2006/relationships/externalLinkPath" Target="/Pc0374/Budget%202005/Budget%202004/Mod_Pr&#233;vsions%20Production/Mod_Projection%20distribution%20cr&#233;dit%202004.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E%20In%20Extenso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xcel%20lyon/Feuilles%20de%20travail%20dossier%20comptable/Feuilles%20de%20travail%20dossier%20comptab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SE EN PLACE AUTOCONST.CMT"/>
      <sheetName val="MISE EN PLACE AUTO. Occas .CMT"/>
      <sheetName val="MISE EN PLACE AUTO. Neuf CMT"/>
      <sheetName val="MISE EN PLACE TERRAIN CMT"/>
      <sheetName val="MISE EN PLACE HABITAT CMT"/>
      <sheetName val="MISE EN PLACE GROS MAT.CMT"/>
      <sheetName val="MISE EN PLACE MOBILIER.CMT "/>
      <sheetName val="MISE EN PLACE PRODUIT Blanc.CMT"/>
      <sheetName val="MISE EN PLACE PRODUIT Brun .CMT"/>
      <sheetName val="MISE EN PLACE AVANCE CCT"/>
      <sheetName val="MISE EN PLACE SCO CCT"/>
      <sheetName val="MISE EN PLACE VAC.CCT"/>
      <sheetName val="MISE EN PLACE Noël CCT"/>
      <sheetName val="MISE EN PLACE MARIAGE CCT"/>
      <sheetName val="MISE EN PLACE TELECOM CCT"/>
      <sheetName val="MISE EN PLACE FUNERAILLES CCT"/>
      <sheetName val="MISE EN PLACE ELECTRA CCT"/>
      <sheetName val="MISE EN PLACE EQUIP BUR. CCT "/>
      <sheetName val="MISE EN PLACE DIVERS EQUIPT.CCT"/>
      <sheetName val="MISE EN PLACE MOBILIER.CCT"/>
      <sheetName val="MISE EN PLACE PDT BLANCS.CCT"/>
      <sheetName val="MISE EN PLACE PDT BRUN CCT"/>
      <sheetName val="MISE EN PLACE AUTO.Occas. CCT"/>
      <sheetName val="MISE EN PLACE AUTO. Neuf CCT"/>
      <sheetName val="MISE EN PLACE VOYAGE CCT"/>
      <sheetName val="MISE EN PLACE AUTOCONST.CCT"/>
      <sheetName val="RECAP Distribution"/>
      <sheetName val="AUTRES PRODUITS"/>
      <sheetName val="AUTRES PRODUITS_H.T"/>
      <sheetName val="AUTRES PRODUITS_TTC"/>
      <sheetName val="Feuil1"/>
      <sheetName val="Mod_Projection distribution cré"/>
      <sheetName val="ETAFI_Sociaux"/>
      <sheetName val="MISE_EN_PLACE_AUTOCONST_CMT"/>
      <sheetName val="MISE_EN_PLACE_AUTO__Occas__CMT"/>
      <sheetName val="MISE_EN_PLACE_AUTO__Neuf_CMT"/>
      <sheetName val="MISE_EN_PLACE_TERRAIN_CMT"/>
      <sheetName val="MISE_EN_PLACE_HABITAT_CMT"/>
      <sheetName val="MISE_EN_PLACE_GROS_MAT_CMT"/>
      <sheetName val="MISE_EN_PLACE_MOBILIER_CMT_"/>
      <sheetName val="MISE_EN_PLACE_PRODUIT_Blanc_CMT"/>
      <sheetName val="MISE_EN_PLACE_PRODUIT_Brun__CMT"/>
      <sheetName val="MISE_EN_PLACE_AVANCE_CCT"/>
      <sheetName val="MISE_EN_PLACE_SCO_CCT"/>
      <sheetName val="MISE_EN_PLACE_VAC_CCT"/>
      <sheetName val="MISE_EN_PLACE_Noël_CCT"/>
      <sheetName val="MISE_EN_PLACE_MARIAGE_CCT"/>
      <sheetName val="MISE_EN_PLACE_TELECOM_CCT"/>
      <sheetName val="MISE_EN_PLACE_FUNERAILLES_CCT"/>
      <sheetName val="MISE_EN_PLACE_ELECTRA_CCT"/>
      <sheetName val="MISE_EN_PLACE_EQUIP_BUR__CCT_"/>
      <sheetName val="MISE_EN_PLACE_DIVERS_EQUIPT_CCT"/>
      <sheetName val="MISE_EN_PLACE_MOBILIER_CCT"/>
      <sheetName val="MISE_EN_PLACE_PDT_BLANCS_CCT"/>
      <sheetName val="MISE_EN_PLACE_PDT_BRUN_CCT"/>
      <sheetName val="MISE_EN_PLACE_AUTO_Occas__CCT"/>
      <sheetName val="MISE_EN_PLACE_AUTO__Neuf_CCT"/>
      <sheetName val="MISE_EN_PLACE_VOYAGE_CCT"/>
      <sheetName val="MISE_EN_PLACE_AUTOCONST_CCT"/>
      <sheetName val="RECAP_Distribution"/>
      <sheetName val="AUTRES_PRODUITS"/>
      <sheetName val="AUTRES_PRODUITS_H_T"/>
      <sheetName val="AUTRES_PRODUITS_TTC"/>
      <sheetName val="Mod_Projection_distribution_cré"/>
      <sheetName val="MISE_EN_PLACE_AUTOCONST_CMT1"/>
      <sheetName val="MISE_EN_PLACE_AUTO__Occas__CMT1"/>
      <sheetName val="MISE_EN_PLACE_AUTO__Neuf_CMT1"/>
      <sheetName val="MISE_EN_PLACE_TERRAIN_CMT1"/>
      <sheetName val="MISE_EN_PLACE_HABITAT_CMT1"/>
      <sheetName val="MISE_EN_PLACE_GROS_MAT_CMT1"/>
      <sheetName val="MISE_EN_PLACE_MOBILIER_CMT_1"/>
      <sheetName val="MISE_EN_PLACE_PRODUIT_Blanc_CM1"/>
      <sheetName val="MISE_EN_PLACE_PRODUIT_Brun__CM1"/>
      <sheetName val="MISE_EN_PLACE_AVANCE_CCT1"/>
      <sheetName val="MISE_EN_PLACE_SCO_CCT1"/>
      <sheetName val="MISE_EN_PLACE_VAC_CCT1"/>
      <sheetName val="MISE_EN_PLACE_Noël_CCT1"/>
      <sheetName val="MISE_EN_PLACE_MARIAGE_CCT1"/>
      <sheetName val="MISE_EN_PLACE_TELECOM_CCT1"/>
      <sheetName val="MISE_EN_PLACE_FUNERAILLES_CCT1"/>
      <sheetName val="MISE_EN_PLACE_ELECTRA_CCT1"/>
      <sheetName val="MISE_EN_PLACE_EQUIP_BUR__CCT_1"/>
      <sheetName val="MISE_EN_PLACE_DIVERS_EQUIPT_CC1"/>
      <sheetName val="MISE_EN_PLACE_MOBILIER_CCT1"/>
      <sheetName val="MISE_EN_PLACE_PDT_BLANCS_CCT1"/>
      <sheetName val="MISE_EN_PLACE_PDT_BRUN_CCT1"/>
      <sheetName val="MISE_EN_PLACE_AUTO_Occas__CCT1"/>
      <sheetName val="MISE_EN_PLACE_AUTO__Neuf_CCT1"/>
      <sheetName val="MISE_EN_PLACE_VOYAGE_CCT1"/>
      <sheetName val="MISE_EN_PLACE_AUTOCONST_CCT1"/>
      <sheetName val="RECAP_Distribution1"/>
      <sheetName val="AUTRES_PRODUITS1"/>
      <sheetName val="AUTRES_PRODUITS_H_T1"/>
      <sheetName val="AUTRES_PRODUITS_TTC1"/>
      <sheetName val="Mod_Projection_distribution_cr1"/>
      <sheetName val="Government1 Bonds"/>
      <sheetName val="Reperformance intérêt sur O "/>
      <sheetName val="dec 2069"/>
      <sheetName val="MISE_EN_PLACE_AUTOCONST_CMT2"/>
      <sheetName val="MISE_EN_PLACE_AUTO__Occas__CMT2"/>
      <sheetName val="MISE_EN_PLACE_AUTO__Neuf_CMT2"/>
      <sheetName val="MISE_EN_PLACE_TERRAIN_CMT2"/>
      <sheetName val="MISE_EN_PLACE_HABITAT_CMT2"/>
      <sheetName val="MISE_EN_PLACE_GROS_MAT_CMT2"/>
      <sheetName val="MISE_EN_PLACE_MOBILIER_CMT_2"/>
      <sheetName val="MISE_EN_PLACE_PRODUIT_Blanc_CM2"/>
      <sheetName val="MISE_EN_PLACE_PRODUIT_Brun__CM2"/>
      <sheetName val="MISE_EN_PLACE_AVANCE_CCT2"/>
      <sheetName val="MISE_EN_PLACE_SCO_CCT2"/>
      <sheetName val="MISE_EN_PLACE_VAC_CCT2"/>
      <sheetName val="MISE_EN_PLACE_Noël_CCT2"/>
      <sheetName val="MISE_EN_PLACE_MARIAGE_CCT2"/>
      <sheetName val="MISE_EN_PLACE_TELECOM_CCT2"/>
      <sheetName val="MISE_EN_PLACE_FUNERAILLES_CCT2"/>
      <sheetName val="MISE_EN_PLACE_ELECTRA_CCT2"/>
      <sheetName val="MISE_EN_PLACE_EQUIP_BUR__CCT_2"/>
      <sheetName val="MISE_EN_PLACE_DIVERS_EQUIPT_CC2"/>
      <sheetName val="MISE_EN_PLACE_MOBILIER_CCT2"/>
      <sheetName val="MISE_EN_PLACE_PDT_BLANCS_CCT2"/>
      <sheetName val="MISE_EN_PLACE_PDT_BRUN_CCT2"/>
      <sheetName val="MISE_EN_PLACE_AUTO_Occas__CCT2"/>
      <sheetName val="MISE_EN_PLACE_AUTO__Neuf_CCT2"/>
      <sheetName val="MISE_EN_PLACE_VOYAGE_CCT2"/>
      <sheetName val="MISE_EN_PLACE_AUTOCONST_CCT2"/>
      <sheetName val="RECAP_Distribution2"/>
      <sheetName val="AUTRES_PRODUITS2"/>
      <sheetName val="AUTRES_PRODUITS_H_T2"/>
      <sheetName val="AUTRES_PRODUITS_TTC2"/>
      <sheetName val="Mod_Projection_distribution_cr2"/>
      <sheetName val="dec_2069"/>
      <sheetName val="MISE_EN_PLACE_AUTOCONST_CMT3"/>
      <sheetName val="MISE_EN_PLACE_AUTO__Occas__CMT3"/>
      <sheetName val="MISE_EN_PLACE_AUTO__Neuf_CMT3"/>
      <sheetName val="MISE_EN_PLACE_TERRAIN_CMT3"/>
      <sheetName val="MISE_EN_PLACE_HABITAT_CMT3"/>
      <sheetName val="MISE_EN_PLACE_GROS_MAT_CMT3"/>
      <sheetName val="MISE_EN_PLACE_MOBILIER_CMT_3"/>
      <sheetName val="MISE_EN_PLACE_PRODUIT_Blanc_CM3"/>
      <sheetName val="MISE_EN_PLACE_PRODUIT_Brun__CM3"/>
      <sheetName val="MISE_EN_PLACE_AVANCE_CCT3"/>
      <sheetName val="MISE_EN_PLACE_SCO_CCT3"/>
      <sheetName val="MISE_EN_PLACE_VAC_CCT3"/>
      <sheetName val="MISE_EN_PLACE_Noël_CCT3"/>
      <sheetName val="MISE_EN_PLACE_MARIAGE_CCT3"/>
      <sheetName val="MISE_EN_PLACE_TELECOM_CCT3"/>
      <sheetName val="MISE_EN_PLACE_FUNERAILLES_CCT3"/>
      <sheetName val="MISE_EN_PLACE_ELECTRA_CCT3"/>
      <sheetName val="MISE_EN_PLACE_EQUIP_BUR__CCT_3"/>
      <sheetName val="MISE_EN_PLACE_DIVERS_EQUIPT_CC3"/>
      <sheetName val="MISE_EN_PLACE_MOBILIER_CCT3"/>
      <sheetName val="MISE_EN_PLACE_PDT_BLANCS_CCT3"/>
      <sheetName val="MISE_EN_PLACE_PDT_BRUN_CCT3"/>
      <sheetName val="MISE_EN_PLACE_AUTO_Occas__CCT3"/>
      <sheetName val="MISE_EN_PLACE_AUTO__Neuf_CCT3"/>
      <sheetName val="MISE_EN_PLACE_VOYAGE_CCT3"/>
      <sheetName val="MISE_EN_PLACE_AUTOCONST_CCT3"/>
      <sheetName val="RECAP_Distribution3"/>
      <sheetName val="AUTRES_PRODUITS3"/>
      <sheetName val="AUTRES_PRODUITS_H_T3"/>
      <sheetName val="AUTRES_PRODUITS_TTC3"/>
      <sheetName val="Mod_Projection_distribution_cr3"/>
      <sheetName val="dec_20691"/>
      <sheetName val="MISE_EN_PLACE_AUTOCONST_CMT6"/>
      <sheetName val="MISE_EN_PLACE_AUTO__Occas__CMT6"/>
      <sheetName val="MISE_EN_PLACE_AUTO__Neuf_CMT6"/>
      <sheetName val="MISE_EN_PLACE_TERRAIN_CMT6"/>
      <sheetName val="MISE_EN_PLACE_HABITAT_CMT6"/>
      <sheetName val="MISE_EN_PLACE_GROS_MAT_CMT6"/>
      <sheetName val="MISE_EN_PLACE_MOBILIER_CMT_6"/>
      <sheetName val="MISE_EN_PLACE_PRODUIT_Blanc_CM6"/>
      <sheetName val="MISE_EN_PLACE_PRODUIT_Brun__CM6"/>
      <sheetName val="MISE_EN_PLACE_AVANCE_CCT6"/>
      <sheetName val="MISE_EN_PLACE_SCO_CCT6"/>
      <sheetName val="MISE_EN_PLACE_VAC_CCT6"/>
      <sheetName val="MISE_EN_PLACE_Noël_CCT6"/>
      <sheetName val="MISE_EN_PLACE_MARIAGE_CCT6"/>
      <sheetName val="MISE_EN_PLACE_TELECOM_CCT6"/>
      <sheetName val="MISE_EN_PLACE_FUNERAILLES_CCT6"/>
      <sheetName val="MISE_EN_PLACE_ELECTRA_CCT6"/>
      <sheetName val="MISE_EN_PLACE_EQUIP_BUR__CCT_6"/>
      <sheetName val="MISE_EN_PLACE_DIVERS_EQUIPT_CC6"/>
      <sheetName val="MISE_EN_PLACE_MOBILIER_CCT6"/>
      <sheetName val="MISE_EN_PLACE_PDT_BLANCS_CCT6"/>
      <sheetName val="MISE_EN_PLACE_PDT_BRUN_CCT6"/>
      <sheetName val="MISE_EN_PLACE_AUTO_Occas__CCT6"/>
      <sheetName val="MISE_EN_PLACE_AUTO__Neuf_CCT6"/>
      <sheetName val="MISE_EN_PLACE_VOYAGE_CCT6"/>
      <sheetName val="MISE_EN_PLACE_AUTOCONST_CCT6"/>
      <sheetName val="RECAP_Distribution6"/>
      <sheetName val="AUTRES_PRODUITS6"/>
      <sheetName val="AUTRES_PRODUITS_H_T6"/>
      <sheetName val="AUTRES_PRODUITS_TTC6"/>
      <sheetName val="Mod_Projection_distribution_cr6"/>
      <sheetName val="dec_20694"/>
      <sheetName val="MISE_EN_PLACE_AUTOCONST_CMT4"/>
      <sheetName val="MISE_EN_PLACE_AUTO__Occas__CMT4"/>
      <sheetName val="MISE_EN_PLACE_AUTO__Neuf_CMT4"/>
      <sheetName val="MISE_EN_PLACE_TERRAIN_CMT4"/>
      <sheetName val="MISE_EN_PLACE_HABITAT_CMT4"/>
      <sheetName val="MISE_EN_PLACE_GROS_MAT_CMT4"/>
      <sheetName val="MISE_EN_PLACE_MOBILIER_CMT_4"/>
      <sheetName val="MISE_EN_PLACE_PRODUIT_Blanc_CM4"/>
      <sheetName val="MISE_EN_PLACE_PRODUIT_Brun__CM4"/>
      <sheetName val="MISE_EN_PLACE_AVANCE_CCT4"/>
      <sheetName val="MISE_EN_PLACE_SCO_CCT4"/>
      <sheetName val="MISE_EN_PLACE_VAC_CCT4"/>
      <sheetName val="MISE_EN_PLACE_Noël_CCT4"/>
      <sheetName val="MISE_EN_PLACE_MARIAGE_CCT4"/>
      <sheetName val="MISE_EN_PLACE_TELECOM_CCT4"/>
      <sheetName val="MISE_EN_PLACE_FUNERAILLES_CCT4"/>
      <sheetName val="MISE_EN_PLACE_ELECTRA_CCT4"/>
      <sheetName val="MISE_EN_PLACE_EQUIP_BUR__CCT_4"/>
      <sheetName val="MISE_EN_PLACE_DIVERS_EQUIPT_CC4"/>
      <sheetName val="MISE_EN_PLACE_MOBILIER_CCT4"/>
      <sheetName val="MISE_EN_PLACE_PDT_BLANCS_CCT4"/>
      <sheetName val="MISE_EN_PLACE_PDT_BRUN_CCT4"/>
      <sheetName val="MISE_EN_PLACE_AUTO_Occas__CCT4"/>
      <sheetName val="MISE_EN_PLACE_AUTO__Neuf_CCT4"/>
      <sheetName val="MISE_EN_PLACE_VOYAGE_CCT4"/>
      <sheetName val="MISE_EN_PLACE_AUTOCONST_CCT4"/>
      <sheetName val="RECAP_Distribution4"/>
      <sheetName val="AUTRES_PRODUITS4"/>
      <sheetName val="AUTRES_PRODUITS_H_T4"/>
      <sheetName val="AUTRES_PRODUITS_TTC4"/>
      <sheetName val="Mod_Projection_distribution_cr4"/>
      <sheetName val="dec_20692"/>
      <sheetName val="MISE_EN_PLACE_AUTOCONST_CMT5"/>
      <sheetName val="MISE_EN_PLACE_AUTO__Occas__CMT5"/>
      <sheetName val="MISE_EN_PLACE_AUTO__Neuf_CMT5"/>
      <sheetName val="MISE_EN_PLACE_TERRAIN_CMT5"/>
      <sheetName val="MISE_EN_PLACE_HABITAT_CMT5"/>
      <sheetName val="MISE_EN_PLACE_GROS_MAT_CMT5"/>
      <sheetName val="MISE_EN_PLACE_MOBILIER_CMT_5"/>
      <sheetName val="MISE_EN_PLACE_PRODUIT_Blanc_CM5"/>
      <sheetName val="MISE_EN_PLACE_PRODUIT_Brun__CM5"/>
      <sheetName val="MISE_EN_PLACE_AVANCE_CCT5"/>
      <sheetName val="MISE_EN_PLACE_SCO_CCT5"/>
      <sheetName val="MISE_EN_PLACE_VAC_CCT5"/>
      <sheetName val="MISE_EN_PLACE_Noël_CCT5"/>
      <sheetName val="MISE_EN_PLACE_MARIAGE_CCT5"/>
      <sheetName val="MISE_EN_PLACE_TELECOM_CCT5"/>
      <sheetName val="MISE_EN_PLACE_FUNERAILLES_CCT5"/>
      <sheetName val="MISE_EN_PLACE_ELECTRA_CCT5"/>
      <sheetName val="MISE_EN_PLACE_EQUIP_BUR__CCT_5"/>
      <sheetName val="MISE_EN_PLACE_DIVERS_EQUIPT_CC5"/>
      <sheetName val="MISE_EN_PLACE_MOBILIER_CCT5"/>
      <sheetName val="MISE_EN_PLACE_PDT_BLANCS_CCT5"/>
      <sheetName val="MISE_EN_PLACE_PDT_BRUN_CCT5"/>
      <sheetName val="MISE_EN_PLACE_AUTO_Occas__CCT5"/>
      <sheetName val="MISE_EN_PLACE_AUTO__Neuf_CCT5"/>
      <sheetName val="MISE_EN_PLACE_VOYAGE_CCT5"/>
      <sheetName val="MISE_EN_PLACE_AUTOCONST_CCT5"/>
      <sheetName val="RECAP_Distribution5"/>
      <sheetName val="AUTRES_PRODUITS5"/>
      <sheetName val="AUTRES_PRODUITS_H_T5"/>
      <sheetName val="AUTRES_PRODUITS_TTC5"/>
      <sheetName val="Mod_Projection_distribution_cr5"/>
      <sheetName val="dec_20693"/>
      <sheetName val="MISE_EN_PLACE_AUTOCONST_CMT7"/>
      <sheetName val="MISE_EN_PLACE_AUTO__Occas__CMT7"/>
      <sheetName val="MISE_EN_PLACE_AUTO__Neuf_CMT7"/>
      <sheetName val="MISE_EN_PLACE_TERRAIN_CMT7"/>
      <sheetName val="MISE_EN_PLACE_HABITAT_CMT7"/>
      <sheetName val="MISE_EN_PLACE_GROS_MAT_CMT7"/>
      <sheetName val="MISE_EN_PLACE_MOBILIER_CMT_7"/>
      <sheetName val="MISE_EN_PLACE_PRODUIT_Blanc_CM7"/>
      <sheetName val="MISE_EN_PLACE_PRODUIT_Brun__CM7"/>
      <sheetName val="MISE_EN_PLACE_AVANCE_CCT7"/>
      <sheetName val="MISE_EN_PLACE_SCO_CCT7"/>
      <sheetName val="MISE_EN_PLACE_VAC_CCT7"/>
      <sheetName val="MISE_EN_PLACE_Noël_CCT7"/>
      <sheetName val="MISE_EN_PLACE_MARIAGE_CCT7"/>
      <sheetName val="MISE_EN_PLACE_TELECOM_CCT7"/>
      <sheetName val="MISE_EN_PLACE_FUNERAILLES_CCT7"/>
      <sheetName val="MISE_EN_PLACE_ELECTRA_CCT7"/>
      <sheetName val="MISE_EN_PLACE_EQUIP_BUR__CCT_7"/>
      <sheetName val="MISE_EN_PLACE_DIVERS_EQUIPT_CC7"/>
      <sheetName val="MISE_EN_PLACE_MOBILIER_CCT7"/>
      <sheetName val="MISE_EN_PLACE_PDT_BLANCS_CCT7"/>
      <sheetName val="MISE_EN_PLACE_PDT_BRUN_CCT7"/>
      <sheetName val="MISE_EN_PLACE_AUTO_Occas__CCT7"/>
      <sheetName val="MISE_EN_PLACE_AUTO__Neuf_CCT7"/>
      <sheetName val="MISE_EN_PLACE_VOYAGE_CCT7"/>
      <sheetName val="MISE_EN_PLACE_AUTOCONST_CCT7"/>
      <sheetName val="RECAP_Distribution7"/>
      <sheetName val="AUTRES_PRODUITS7"/>
      <sheetName val="AUTRES_PRODUITS_H_T7"/>
      <sheetName val="AUTRES_PRODUITS_TTC7"/>
      <sheetName val="Mod_Projection_distribution_cr7"/>
      <sheetName val="dec_20695"/>
    </sheetNames>
    <sheetDataSet>
      <sheetData sheetId="0" refreshError="1">
        <row r="6">
          <cell r="C6" t="str">
            <v>Date début :</v>
          </cell>
          <cell r="D6">
            <v>37987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6">
          <cell r="C6" t="str">
            <v>Date début :</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ow r="6">
          <cell r="B6">
            <v>37987</v>
          </cell>
        </row>
      </sheetData>
      <sheetData sheetId="96"/>
      <sheetData sheetId="97" refreshError="1"/>
      <sheetData sheetId="98">
        <row r="6">
          <cell r="C6" t="str">
            <v>Date début :</v>
          </cell>
        </row>
      </sheetData>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6">
          <cell r="C6" t="str">
            <v>Date début :</v>
          </cell>
        </row>
      </sheetData>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ow r="6">
          <cell r="C6" t="str">
            <v>Date début :</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ow r="6">
          <cell r="C6" t="str">
            <v>Date début :</v>
          </cell>
        </row>
      </sheetData>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ésentation"/>
      <sheetName val="EXAMEN   &amp; SYNTHESE 1"/>
      <sheetName val="EXAMEN &amp; SYNTHESE 2"/>
      <sheetName val="QUESTIONNAIRE"/>
      <sheetName val="RATEAU"/>
      <sheetName val="DOC LIAISON"/>
      <sheetName val="INFO SUR RESULTAT"/>
      <sheetName val="INFO SUR DIRIGEANTS"/>
      <sheetName val="INFO SUR ACTIVITE"/>
      <sheetName val="NOTE ORIENTATION"/>
      <sheetName val="ORGANIS CPTABLE"/>
      <sheetName val="REGUL FORMELLE(1)"/>
      <sheetName val="REGUL FORMELLE(2)"/>
      <sheetName val="REGUL FORMELLE(3)"/>
      <sheetName val="L.F.1"/>
      <sheetName val="L.F.2"/>
      <sheetName val="L.F.3"/>
      <sheetName val="PREP.LF 4-6"/>
      <sheetName val="PREP.LF 5-6"/>
      <sheetName val="PREP.LF 6-6"/>
      <sheetName val="486000"/>
      <sheetName val="487000"/>
      <sheetName val="RECAP.PDT A REC."/>
      <sheetName val="RECAP.PDT A REC2"/>
      <sheetName val="RECAP PDT A REC3"/>
      <sheetName val="RECAP.CHG A PAY1"/>
      <sheetName val="RECAP.CHG A PAY2"/>
      <sheetName val="CPTES PRODT-CHARGES"/>
      <sheetName val="COMPTES DE PRODUITS - COMPTES C"/>
      <sheetName val="TVA DECL.ETAB.1"/>
      <sheetName val="Régime fiscal débits"/>
      <sheetName val="Régime fiscal encaiss."/>
      <sheetName val="Détail crédit bail"/>
      <sheetName val="Contrôle assurances"/>
      <sheetName val="DAS2"/>
      <sheetName val="ETAT RAPPROCH.1"/>
      <sheetName val="ETAT RAPPROCH.2"/>
      <sheetName val="RAPPROCH.REMUNER."/>
      <sheetName val="COT.EXPLOITANT"/>
      <sheetName val="IMMOBILISATIONS"/>
      <sheetName val="STOCK ET  TRAVAUX"/>
      <sheetName val="CONTROLE DES MARGES"/>
      <sheetName val="STOCKS ET TEC"/>
      <sheetName val="CONTROLE DES MARGES 1"/>
      <sheetName val="CONTROLE DES MARGES 2"/>
      <sheetName val="RECONSTITUTION DE PRODUCTION"/>
      <sheetName val="CLIENTS ET COMPTES RATTACHES"/>
      <sheetName val="ETAT DES CREANCES DOUT. &amp; PROV "/>
      <sheetName val="AUTRES CREANCES ET COMPTES.."/>
      <sheetName val="ETAT DE RAPPROCHEMENT"/>
      <sheetName val="CAISSE"/>
      <sheetName val="FONDS PROPRES PROV EMPRUNT DETT"/>
      <sheetName val="CAPITAUX PROPRES RESERVES"/>
      <sheetName val="DETAIL EMPRUNT"/>
      <sheetName val="FOURNISSEURS COMPTES RATTACHES"/>
      <sheetName val="RUBRIQUE 421 ET 431"/>
      <sheetName val="DETTES FISCALES SOCIALES "/>
      <sheetName val="PROV CONGÉS PAYES"/>
      <sheetName val="ETAFI_Sociaux"/>
      <sheetName val="Graphe bilan (2)"/>
      <sheetName val="EXAMEN___&amp;_SYNTHESE_1"/>
      <sheetName val="EXAMEN_&amp;_SYNTHESE_2"/>
      <sheetName val="DOC_LIAISON"/>
      <sheetName val="INFO_SUR_RESULTAT"/>
      <sheetName val="INFO_SUR_DIRIGEANTS"/>
      <sheetName val="INFO_SUR_ACTIVITE"/>
      <sheetName val="NOTE_ORIENTATION"/>
      <sheetName val="ORGANIS_CPTABLE"/>
      <sheetName val="REGUL_FORMELLE(1)"/>
      <sheetName val="REGUL_FORMELLE(2)"/>
      <sheetName val="REGUL_FORMELLE(3)"/>
      <sheetName val="L_F_1"/>
      <sheetName val="L_F_2"/>
      <sheetName val="L_F_3"/>
      <sheetName val="PREP_LF_4-6"/>
      <sheetName val="PREP_LF_5-6"/>
      <sheetName val="PREP_LF_6-6"/>
      <sheetName val="RECAP_PDT_A_REC_"/>
      <sheetName val="RECAP_PDT_A_REC2"/>
      <sheetName val="RECAP_PDT_A_REC3"/>
      <sheetName val="RECAP_CHG_A_PAY1"/>
      <sheetName val="RECAP_CHG_A_PAY2"/>
      <sheetName val="CPTES_PRODT-CHARGES"/>
      <sheetName val="COMPTES_DE_PRODUITS_-_COMPTES_C"/>
      <sheetName val="TVA_DECL_ETAB_1"/>
      <sheetName val="Régime_fiscal_débits"/>
      <sheetName val="Régime_fiscal_encaiss_"/>
      <sheetName val="Détail_crédit_bail"/>
      <sheetName val="Contrôle_assurances"/>
      <sheetName val="ETAT_RAPPROCH_1"/>
      <sheetName val="ETAT_RAPPROCH_2"/>
      <sheetName val="RAPPROCH_REMUNER_"/>
      <sheetName val="COT_EXPLOITANT"/>
      <sheetName val="STOCK_ET__TRAVAUX"/>
      <sheetName val="CONTROLE_DES_MARGES"/>
      <sheetName val="STOCKS_ET_TEC"/>
      <sheetName val="CONTROLE_DES_MARGES_1"/>
      <sheetName val="CONTROLE_DES_MARGES_2"/>
      <sheetName val="RECONSTITUTION_DE_PRODUCTION"/>
      <sheetName val="CLIENTS_ET_COMPTES_RATTACHES"/>
      <sheetName val="ETAT_DES_CREANCES_DOUT__&amp;_PROV_"/>
      <sheetName val="AUTRES_CREANCES_ET_COMPTES__"/>
      <sheetName val="ETAT_DE_RAPPROCHEMENT"/>
      <sheetName val="FONDS_PROPRES_PROV_EMPRUNT_DETT"/>
      <sheetName val="CAPITAUX_PROPRES_RESERVES"/>
      <sheetName val="DETAIL_EMPRUNT"/>
      <sheetName val="FOURNISSEURS_COMPTES_RATTACHES"/>
      <sheetName val="RUBRIQUE_421_ET_431"/>
      <sheetName val="DETTES_FISCALES_SOCIALES_"/>
      <sheetName val="PROV_CONGÉS_PAYES"/>
      <sheetName val="Graphe_bilan_(2)"/>
      <sheetName val="EXAMEN___&amp;_SYNTHESE_11"/>
      <sheetName val="EXAMEN_&amp;_SYNTHESE_21"/>
      <sheetName val="DOC_LIAISON1"/>
      <sheetName val="INFO_SUR_RESULTAT1"/>
      <sheetName val="INFO_SUR_DIRIGEANTS1"/>
      <sheetName val="INFO_SUR_ACTIVITE1"/>
      <sheetName val="NOTE_ORIENTATION1"/>
      <sheetName val="ORGANIS_CPTABLE1"/>
      <sheetName val="REGUL_FORMELLE(1)1"/>
      <sheetName val="REGUL_FORMELLE(2)1"/>
      <sheetName val="REGUL_FORMELLE(3)1"/>
      <sheetName val="L_F_11"/>
      <sheetName val="L_F_21"/>
      <sheetName val="L_F_31"/>
      <sheetName val="PREP_LF_4-61"/>
      <sheetName val="PREP_LF_5-61"/>
      <sheetName val="PREP_LF_6-61"/>
      <sheetName val="RECAP_PDT_A_REC_1"/>
      <sheetName val="RECAP_PDT_A_REC21"/>
      <sheetName val="RECAP_PDT_A_REC31"/>
      <sheetName val="RECAP_CHG_A_PAY11"/>
      <sheetName val="RECAP_CHG_A_PAY21"/>
      <sheetName val="CPTES_PRODT-CHARGES1"/>
      <sheetName val="COMPTES_DE_PRODUITS_-_COMPTES_1"/>
      <sheetName val="TVA_DECL_ETAB_11"/>
      <sheetName val="Régime_fiscal_débits1"/>
      <sheetName val="Régime_fiscal_encaiss_1"/>
      <sheetName val="Détail_crédit_bail1"/>
      <sheetName val="Contrôle_assurances1"/>
      <sheetName val="ETAT_RAPPROCH_11"/>
      <sheetName val="ETAT_RAPPROCH_21"/>
      <sheetName val="RAPPROCH_REMUNER_1"/>
      <sheetName val="COT_EXPLOITANT1"/>
      <sheetName val="STOCK_ET__TRAVAUX1"/>
      <sheetName val="CONTROLE_DES_MARGES1"/>
      <sheetName val="STOCKS_ET_TEC1"/>
      <sheetName val="CONTROLE_DES_MARGES_11"/>
      <sheetName val="CONTROLE_DES_MARGES_21"/>
      <sheetName val="RECONSTITUTION_DE_PRODUCTION1"/>
      <sheetName val="CLIENTS_ET_COMPTES_RATTACHES1"/>
      <sheetName val="ETAT_DES_CREANCES_DOUT__&amp;_PROV1"/>
      <sheetName val="AUTRES_CREANCES_ET_COMPTES__1"/>
      <sheetName val="ETAT_DE_RAPPROCHEMENT1"/>
      <sheetName val="FONDS_PROPRES_PROV_EMPRUNT_DET1"/>
      <sheetName val="CAPITAUX_PROPRES_RESERVES1"/>
      <sheetName val="DETAIL_EMPRUNT1"/>
      <sheetName val="FOURNISSEURS_COMPTES_RATTACHES1"/>
      <sheetName val="RUBRIQUE_421_ET_4311"/>
      <sheetName val="DETTES_FISCALES_SOCIALES_1"/>
      <sheetName val="PROV_CONGÉS_PAYES1"/>
      <sheetName val="Graphe_bilan_(2)1"/>
      <sheetName val="EXAMEN___&amp;_SYNTHESE_12"/>
      <sheetName val="EXAMEN_&amp;_SYNTHESE_22"/>
      <sheetName val="DOC_LIAISON2"/>
      <sheetName val="INFO_SUR_RESULTAT2"/>
      <sheetName val="INFO_SUR_DIRIGEANTS2"/>
      <sheetName val="INFO_SUR_ACTIVITE2"/>
      <sheetName val="NOTE_ORIENTATION2"/>
      <sheetName val="ORGANIS_CPTABLE2"/>
      <sheetName val="REGUL_FORMELLE(1)2"/>
      <sheetName val="REGUL_FORMELLE(2)2"/>
      <sheetName val="REGUL_FORMELLE(3)2"/>
      <sheetName val="L_F_12"/>
      <sheetName val="L_F_22"/>
      <sheetName val="L_F_32"/>
      <sheetName val="PREP_LF_4-62"/>
      <sheetName val="PREP_LF_5-62"/>
      <sheetName val="PREP_LF_6-62"/>
      <sheetName val="RECAP_PDT_A_REC_2"/>
      <sheetName val="RECAP_PDT_A_REC22"/>
      <sheetName val="RECAP_PDT_A_REC32"/>
      <sheetName val="RECAP_CHG_A_PAY12"/>
      <sheetName val="RECAP_CHG_A_PAY22"/>
      <sheetName val="CPTES_PRODT-CHARGES2"/>
      <sheetName val="COMPTES_DE_PRODUITS_-_COMPTES_2"/>
      <sheetName val="TVA_DECL_ETAB_12"/>
      <sheetName val="Régime_fiscal_débits2"/>
      <sheetName val="Régime_fiscal_encaiss_2"/>
      <sheetName val="Détail_crédit_bail2"/>
      <sheetName val="Contrôle_assurances2"/>
      <sheetName val="ETAT_RAPPROCH_12"/>
      <sheetName val="ETAT_RAPPROCH_22"/>
      <sheetName val="RAPPROCH_REMUNER_2"/>
      <sheetName val="COT_EXPLOITANT2"/>
      <sheetName val="STOCK_ET__TRAVAUX2"/>
      <sheetName val="CONTROLE_DES_MARGES2"/>
      <sheetName val="STOCKS_ET_TEC2"/>
      <sheetName val="CONTROLE_DES_MARGES_12"/>
      <sheetName val="CONTROLE_DES_MARGES_22"/>
      <sheetName val="RECONSTITUTION_DE_PRODUCTION2"/>
      <sheetName val="CLIENTS_ET_COMPTES_RATTACHES2"/>
      <sheetName val="ETAT_DES_CREANCES_DOUT__&amp;_PROV2"/>
      <sheetName val="AUTRES_CREANCES_ET_COMPTES__2"/>
      <sheetName val="ETAT_DE_RAPPROCHEMENT2"/>
      <sheetName val="FONDS_PROPRES_PROV_EMPRUNT_DET2"/>
      <sheetName val="CAPITAUX_PROPRES_RESERVES2"/>
      <sheetName val="DETAIL_EMPRUNT2"/>
      <sheetName val="FOURNISSEURS_COMPTES_RATTACHES2"/>
      <sheetName val="RUBRIQUE_421_ET_4312"/>
      <sheetName val="DETTES_FISCALES_SOCIALES_2"/>
      <sheetName val="PROV_CONGÉS_PAYES2"/>
      <sheetName val="Graphe_bilan_(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TS1"/>
      <sheetName val="FTS2"/>
      <sheetName val="FTS3"/>
      <sheetName val="FTS4"/>
      <sheetName val="FTS5"/>
      <sheetName val="FTS6"/>
      <sheetName val="FTS7"/>
      <sheetName val="FTS8"/>
      <sheetName val="FTS9"/>
      <sheetName val="FTS10"/>
      <sheetName val="FTS11"/>
      <sheetName val="FTS12"/>
      <sheetName val="FTS13"/>
      <sheetName val="FTS14"/>
      <sheetName val="FTS15"/>
      <sheetName val="FTS16"/>
      <sheetName val="FTS17"/>
      <sheetName val="FTS18"/>
      <sheetName val="FTS19"/>
      <sheetName val="FTS20"/>
      <sheetName val="FTS21"/>
      <sheetName val="FTS22"/>
      <sheetName val="FTS23"/>
      <sheetName val="FTS24"/>
      <sheetName val="FTS25"/>
      <sheetName val="FTS26"/>
      <sheetName val="FTS27"/>
      <sheetName val="FTS28"/>
      <sheetName val="FTS29"/>
      <sheetName val="FTS30"/>
      <sheetName val="FTS31"/>
      <sheetName val="FTS32"/>
      <sheetName val="FTS33"/>
      <sheetName val="Feuil2"/>
      <sheetName val="Feuil3"/>
      <sheetName val="M5 TSIL"/>
    </sheetNames>
    <sheetDataSet>
      <sheetData sheetId="0">
        <row r="1">
          <cell r="A1">
            <v>30112000</v>
          </cell>
        </row>
        <row r="4">
          <cell r="A4" t="str">
            <v>SA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9457-CF90-410B-AA60-143FC23C2373}">
  <dimension ref="A1:G254"/>
  <sheetViews>
    <sheetView tabSelected="1" topLeftCell="B1" zoomScale="80" zoomScaleNormal="80" workbookViewId="0">
      <selection activeCell="C5" sqref="C5"/>
    </sheetView>
  </sheetViews>
  <sheetFormatPr baseColWidth="10" defaultRowHeight="15"/>
  <cols>
    <col min="1" max="1" width="12.1640625" hidden="1" customWidth="1"/>
    <col min="2" max="2" width="18" customWidth="1"/>
    <col min="3" max="3" width="65" customWidth="1"/>
    <col min="4" max="4" width="62.33203125" customWidth="1"/>
    <col min="5" max="6" width="18.6640625" customWidth="1"/>
    <col min="7" max="7" width="12.83203125" customWidth="1"/>
  </cols>
  <sheetData>
    <row r="1" spans="1:7" s="48" customFormat="1" ht="33.75" customHeight="1">
      <c r="A1" s="4" t="s">
        <v>1025</v>
      </c>
      <c r="B1" s="3"/>
      <c r="C1" s="3"/>
      <c r="D1" s="3"/>
      <c r="E1" s="3"/>
      <c r="F1" s="3"/>
      <c r="G1" s="3"/>
    </row>
    <row r="2" spans="1:7" s="40" customFormat="1" ht="20.25" customHeight="1">
      <c r="A2" s="2" t="s">
        <v>69</v>
      </c>
      <c r="B2" s="2"/>
      <c r="C2" s="2"/>
      <c r="D2" s="49">
        <f ca="1">TODAY()</f>
        <v>46183</v>
      </c>
      <c r="E2" s="90"/>
      <c r="F2" s="90"/>
      <c r="G2" s="90"/>
    </row>
    <row r="3" spans="1:7" s="43" customFormat="1" ht="14"/>
    <row r="4" spans="1:7" s="40" customFormat="1" ht="43.5" customHeight="1">
      <c r="A4" s="107" t="s">
        <v>49</v>
      </c>
      <c r="B4" s="107" t="s">
        <v>1047</v>
      </c>
      <c r="C4" s="107" t="s">
        <v>364</v>
      </c>
      <c r="D4" s="107" t="s">
        <v>28</v>
      </c>
      <c r="E4" s="107" t="s">
        <v>64</v>
      </c>
      <c r="F4" s="107" t="s">
        <v>70</v>
      </c>
      <c r="G4" s="107" t="s">
        <v>48</v>
      </c>
    </row>
    <row r="5" spans="1:7" s="40" customFormat="1" ht="70.5" customHeight="1">
      <c r="A5" s="99" t="s">
        <v>50</v>
      </c>
      <c r="B5" s="99" t="s">
        <v>1026</v>
      </c>
      <c r="C5" s="100" t="s">
        <v>365</v>
      </c>
      <c r="D5" s="99" t="s">
        <v>56</v>
      </c>
      <c r="E5" s="99" t="s">
        <v>65</v>
      </c>
      <c r="F5" s="99" t="s">
        <v>73</v>
      </c>
      <c r="G5" s="101">
        <v>1</v>
      </c>
    </row>
    <row r="6" spans="1:7" s="40" customFormat="1" ht="70.5" customHeight="1">
      <c r="A6" s="99" t="s">
        <v>775</v>
      </c>
      <c r="B6" s="99" t="s">
        <v>1026</v>
      </c>
      <c r="C6" s="100" t="s">
        <v>776</v>
      </c>
      <c r="D6" s="99" t="s">
        <v>777</v>
      </c>
      <c r="E6" s="99" t="s">
        <v>576</v>
      </c>
      <c r="F6" s="99" t="s">
        <v>73</v>
      </c>
      <c r="G6" s="101">
        <v>0.9</v>
      </c>
    </row>
    <row r="7" spans="1:7" s="40" customFormat="1" ht="62.25" customHeight="1">
      <c r="A7" s="99" t="s">
        <v>57</v>
      </c>
      <c r="B7" s="99" t="s">
        <v>1026</v>
      </c>
      <c r="C7" s="100" t="s">
        <v>366</v>
      </c>
      <c r="D7" s="99" t="s">
        <v>72</v>
      </c>
      <c r="E7" s="99" t="s">
        <v>65</v>
      </c>
      <c r="F7" s="99" t="s">
        <v>71</v>
      </c>
      <c r="G7" s="101">
        <v>1</v>
      </c>
    </row>
    <row r="8" spans="1:7" s="40" customFormat="1" ht="57">
      <c r="A8" s="99" t="s">
        <v>52</v>
      </c>
      <c r="B8" s="99" t="s">
        <v>1026</v>
      </c>
      <c r="C8" s="100" t="s">
        <v>367</v>
      </c>
      <c r="D8" s="99" t="s">
        <v>66</v>
      </c>
      <c r="E8" s="99" t="s">
        <v>65</v>
      </c>
      <c r="F8" s="99" t="s">
        <v>71</v>
      </c>
      <c r="G8" s="102">
        <v>1</v>
      </c>
    </row>
    <row r="9" spans="1:7" s="40" customFormat="1" ht="57">
      <c r="A9" s="99" t="s">
        <v>68</v>
      </c>
      <c r="B9" s="99" t="s">
        <v>1026</v>
      </c>
      <c r="C9" s="100" t="s">
        <v>438</v>
      </c>
      <c r="D9" s="99" t="s">
        <v>67</v>
      </c>
      <c r="E9" s="99" t="s">
        <v>65</v>
      </c>
      <c r="F9" s="99" t="s">
        <v>71</v>
      </c>
      <c r="G9" s="102">
        <v>0.9</v>
      </c>
    </row>
    <row r="10" spans="1:7" s="40" customFormat="1" ht="38">
      <c r="A10" s="99" t="s">
        <v>76</v>
      </c>
      <c r="B10" s="99" t="s">
        <v>1027</v>
      </c>
      <c r="C10" s="100" t="s">
        <v>368</v>
      </c>
      <c r="D10" s="99" t="s">
        <v>77</v>
      </c>
      <c r="E10" s="99" t="s">
        <v>65</v>
      </c>
      <c r="F10" s="99" t="s">
        <v>78</v>
      </c>
      <c r="G10" s="102">
        <v>1</v>
      </c>
    </row>
    <row r="11" spans="1:7" s="40" customFormat="1" ht="38">
      <c r="A11" s="99" t="s">
        <v>79</v>
      </c>
      <c r="B11" s="99" t="s">
        <v>1027</v>
      </c>
      <c r="C11" s="100" t="s">
        <v>369</v>
      </c>
      <c r="D11" s="99" t="s">
        <v>80</v>
      </c>
      <c r="E11" s="99" t="s">
        <v>65</v>
      </c>
      <c r="F11" s="99" t="s">
        <v>71</v>
      </c>
      <c r="G11" s="102">
        <v>0.95</v>
      </c>
    </row>
    <row r="12" spans="1:7" s="40" customFormat="1" ht="38">
      <c r="A12" s="99" t="s">
        <v>81</v>
      </c>
      <c r="B12" s="99" t="s">
        <v>1027</v>
      </c>
      <c r="C12" s="100" t="s">
        <v>370</v>
      </c>
      <c r="D12" s="99" t="s">
        <v>82</v>
      </c>
      <c r="E12" s="99" t="s">
        <v>65</v>
      </c>
      <c r="F12" s="99" t="s">
        <v>73</v>
      </c>
      <c r="G12" s="102">
        <v>0.9</v>
      </c>
    </row>
    <row r="13" spans="1:7" s="40" customFormat="1" ht="20">
      <c r="A13" s="99" t="s">
        <v>83</v>
      </c>
      <c r="B13" s="99" t="s">
        <v>1027</v>
      </c>
      <c r="C13" s="100" t="s">
        <v>371</v>
      </c>
      <c r="D13" s="99" t="s">
        <v>84</v>
      </c>
      <c r="E13" s="99" t="s">
        <v>65</v>
      </c>
      <c r="F13" s="99" t="s">
        <v>85</v>
      </c>
      <c r="G13" s="102" t="s">
        <v>86</v>
      </c>
    </row>
    <row r="14" spans="1:7" s="40" customFormat="1" ht="38">
      <c r="A14" s="99" t="s">
        <v>87</v>
      </c>
      <c r="B14" s="99" t="s">
        <v>1027</v>
      </c>
      <c r="C14" s="100" t="s">
        <v>372</v>
      </c>
      <c r="D14" s="99" t="s">
        <v>88</v>
      </c>
      <c r="E14" s="99" t="s">
        <v>65</v>
      </c>
      <c r="F14" s="99" t="s">
        <v>73</v>
      </c>
      <c r="G14" s="102">
        <v>1</v>
      </c>
    </row>
    <row r="15" spans="1:7" s="40" customFormat="1" ht="38">
      <c r="A15" s="99" t="s">
        <v>89</v>
      </c>
      <c r="B15" s="99" t="s">
        <v>1027</v>
      </c>
      <c r="C15" s="100" t="s">
        <v>373</v>
      </c>
      <c r="D15" s="99" t="s">
        <v>90</v>
      </c>
      <c r="E15" s="99" t="s">
        <v>65</v>
      </c>
      <c r="F15" s="99" t="s">
        <v>71</v>
      </c>
      <c r="G15" s="102">
        <v>1</v>
      </c>
    </row>
    <row r="16" spans="1:7" s="40" customFormat="1" ht="38">
      <c r="A16" s="99" t="s">
        <v>91</v>
      </c>
      <c r="B16" s="99" t="s">
        <v>1027</v>
      </c>
      <c r="C16" s="100" t="s">
        <v>374</v>
      </c>
      <c r="D16" s="99" t="s">
        <v>92</v>
      </c>
      <c r="E16" s="99" t="s">
        <v>65</v>
      </c>
      <c r="F16" s="99" t="s">
        <v>71</v>
      </c>
      <c r="G16" s="102">
        <v>0.95</v>
      </c>
    </row>
    <row r="17" spans="1:7" s="40" customFormat="1" ht="38">
      <c r="A17" s="99" t="s">
        <v>93</v>
      </c>
      <c r="B17" s="99" t="s">
        <v>1027</v>
      </c>
      <c r="C17" s="100" t="s">
        <v>375</v>
      </c>
      <c r="D17" s="99" t="s">
        <v>94</v>
      </c>
      <c r="E17" s="99" t="s">
        <v>65</v>
      </c>
      <c r="F17" s="99" t="s">
        <v>71</v>
      </c>
      <c r="G17" s="102">
        <v>1</v>
      </c>
    </row>
    <row r="18" spans="1:7" s="40" customFormat="1" ht="38">
      <c r="A18" s="99" t="s">
        <v>766</v>
      </c>
      <c r="B18" s="99" t="s">
        <v>1027</v>
      </c>
      <c r="C18" s="100" t="s">
        <v>769</v>
      </c>
      <c r="D18" s="99" t="s">
        <v>770</v>
      </c>
      <c r="E18" s="99" t="s">
        <v>576</v>
      </c>
      <c r="F18" s="99" t="s">
        <v>71</v>
      </c>
      <c r="G18" s="99">
        <v>0</v>
      </c>
    </row>
    <row r="19" spans="1:7" s="40" customFormat="1" ht="38">
      <c r="A19" s="99" t="s">
        <v>767</v>
      </c>
      <c r="B19" s="99" t="s">
        <v>1027</v>
      </c>
      <c r="C19" s="100" t="s">
        <v>771</v>
      </c>
      <c r="D19" s="99" t="s">
        <v>772</v>
      </c>
      <c r="E19" s="99" t="s">
        <v>576</v>
      </c>
      <c r="F19" s="99" t="s">
        <v>71</v>
      </c>
      <c r="G19" s="102">
        <v>1</v>
      </c>
    </row>
    <row r="20" spans="1:7" s="40" customFormat="1" ht="20">
      <c r="A20" s="99" t="s">
        <v>768</v>
      </c>
      <c r="B20" s="99" t="s">
        <v>1027</v>
      </c>
      <c r="C20" s="100" t="s">
        <v>773</v>
      </c>
      <c r="D20" s="99" t="s">
        <v>774</v>
      </c>
      <c r="E20" s="99" t="s">
        <v>576</v>
      </c>
      <c r="F20" s="99" t="s">
        <v>73</v>
      </c>
      <c r="G20" s="102">
        <v>0.9</v>
      </c>
    </row>
    <row r="21" spans="1:7" s="40" customFormat="1" ht="57">
      <c r="A21" s="99" t="s">
        <v>95</v>
      </c>
      <c r="B21" s="99" t="s">
        <v>1027</v>
      </c>
      <c r="C21" s="100" t="s">
        <v>376</v>
      </c>
      <c r="D21" s="99" t="s">
        <v>96</v>
      </c>
      <c r="E21" s="99" t="s">
        <v>65</v>
      </c>
      <c r="F21" s="99" t="s">
        <v>71</v>
      </c>
      <c r="G21" s="102">
        <v>1</v>
      </c>
    </row>
    <row r="22" spans="1:7" s="40" customFormat="1" ht="33.75" customHeight="1">
      <c r="A22" s="99" t="s">
        <v>103</v>
      </c>
      <c r="B22" s="99" t="s">
        <v>1028</v>
      </c>
      <c r="C22" s="100" t="s">
        <v>747</v>
      </c>
      <c r="D22" s="99" t="s">
        <v>104</v>
      </c>
      <c r="E22" s="99" t="s">
        <v>65</v>
      </c>
      <c r="F22" s="99" t="s">
        <v>71</v>
      </c>
      <c r="G22" s="102">
        <v>0.85</v>
      </c>
    </row>
    <row r="23" spans="1:7" s="40" customFormat="1" ht="46.5" customHeight="1">
      <c r="A23" s="99" t="s">
        <v>105</v>
      </c>
      <c r="B23" s="99" t="s">
        <v>1028</v>
      </c>
      <c r="C23" s="100" t="s">
        <v>748</v>
      </c>
      <c r="D23" s="99" t="s">
        <v>832</v>
      </c>
      <c r="E23" s="99" t="s">
        <v>65</v>
      </c>
      <c r="F23" s="99" t="s">
        <v>73</v>
      </c>
      <c r="G23" s="102">
        <v>1</v>
      </c>
    </row>
    <row r="24" spans="1:7" s="40" customFormat="1" ht="48" customHeight="1">
      <c r="A24" s="99" t="s">
        <v>106</v>
      </c>
      <c r="B24" s="99" t="s">
        <v>1028</v>
      </c>
      <c r="C24" s="100" t="s">
        <v>831</v>
      </c>
      <c r="D24" s="99" t="s">
        <v>749</v>
      </c>
      <c r="E24" s="99" t="s">
        <v>65</v>
      </c>
      <c r="F24" s="99" t="s">
        <v>73</v>
      </c>
      <c r="G24" s="102">
        <v>1</v>
      </c>
    </row>
    <row r="25" spans="1:7" s="40" customFormat="1" ht="35.25" customHeight="1">
      <c r="A25" s="99" t="s">
        <v>107</v>
      </c>
      <c r="B25" s="99" t="s">
        <v>1028</v>
      </c>
      <c r="C25" s="100" t="s">
        <v>750</v>
      </c>
      <c r="D25" s="99" t="s">
        <v>112</v>
      </c>
      <c r="E25" s="99" t="s">
        <v>65</v>
      </c>
      <c r="F25" s="99" t="s">
        <v>73</v>
      </c>
      <c r="G25" s="101">
        <v>1</v>
      </c>
    </row>
    <row r="26" spans="1:7" s="40" customFormat="1" ht="35.25" customHeight="1">
      <c r="A26" s="99" t="s">
        <v>108</v>
      </c>
      <c r="B26" s="99" t="s">
        <v>1028</v>
      </c>
      <c r="C26" s="100" t="s">
        <v>751</v>
      </c>
      <c r="D26" s="99" t="s">
        <v>754</v>
      </c>
      <c r="E26" s="99" t="s">
        <v>576</v>
      </c>
      <c r="F26" s="99" t="s">
        <v>73</v>
      </c>
      <c r="G26" s="102">
        <v>1</v>
      </c>
    </row>
    <row r="27" spans="1:7" s="40" customFormat="1" ht="57">
      <c r="A27" s="99" t="s">
        <v>109</v>
      </c>
      <c r="B27" s="99" t="s">
        <v>1028</v>
      </c>
      <c r="C27" s="100" t="s">
        <v>752</v>
      </c>
      <c r="D27" s="99" t="s">
        <v>241</v>
      </c>
      <c r="E27" s="99" t="s">
        <v>65</v>
      </c>
      <c r="F27" s="99" t="s">
        <v>71</v>
      </c>
      <c r="G27" s="101">
        <v>1</v>
      </c>
    </row>
    <row r="28" spans="1:7" s="40" customFormat="1" ht="42" customHeight="1">
      <c r="A28" s="99" t="s">
        <v>111</v>
      </c>
      <c r="B28" s="99" t="s">
        <v>1028</v>
      </c>
      <c r="C28" s="100" t="s">
        <v>755</v>
      </c>
      <c r="D28" s="99" t="s">
        <v>756</v>
      </c>
      <c r="E28" s="99" t="s">
        <v>576</v>
      </c>
      <c r="F28" s="99" t="s">
        <v>73</v>
      </c>
      <c r="G28" s="101">
        <v>1</v>
      </c>
    </row>
    <row r="29" spans="1:7" s="40" customFormat="1" ht="42" customHeight="1">
      <c r="A29" s="99" t="s">
        <v>113</v>
      </c>
      <c r="B29" s="99" t="s">
        <v>1028</v>
      </c>
      <c r="C29" s="100" t="s">
        <v>757</v>
      </c>
      <c r="D29" s="99" t="s">
        <v>758</v>
      </c>
      <c r="E29" s="99" t="s">
        <v>576</v>
      </c>
      <c r="F29" s="99" t="s">
        <v>73</v>
      </c>
      <c r="G29" s="101">
        <v>1</v>
      </c>
    </row>
    <row r="30" spans="1:7" s="40" customFormat="1" ht="42" customHeight="1">
      <c r="A30" s="99" t="s">
        <v>753</v>
      </c>
      <c r="B30" s="99" t="s">
        <v>1028</v>
      </c>
      <c r="C30" s="100" t="s">
        <v>759</v>
      </c>
      <c r="D30" s="99" t="s">
        <v>760</v>
      </c>
      <c r="E30" s="99" t="s">
        <v>65</v>
      </c>
      <c r="F30" s="99" t="s">
        <v>73</v>
      </c>
      <c r="G30" s="101">
        <v>1</v>
      </c>
    </row>
    <row r="31" spans="1:7" s="40" customFormat="1" ht="42" customHeight="1">
      <c r="A31" s="99" t="s">
        <v>115</v>
      </c>
      <c r="B31" s="99" t="s">
        <v>1028</v>
      </c>
      <c r="C31" s="100" t="s">
        <v>762</v>
      </c>
      <c r="D31" s="99" t="s">
        <v>763</v>
      </c>
      <c r="E31" s="99" t="s">
        <v>65</v>
      </c>
      <c r="F31" s="99" t="s">
        <v>286</v>
      </c>
      <c r="G31" s="101">
        <v>1</v>
      </c>
    </row>
    <row r="32" spans="1:7" s="40" customFormat="1" ht="42" customHeight="1">
      <c r="A32" s="99" t="s">
        <v>833</v>
      </c>
      <c r="B32" s="99" t="s">
        <v>1028</v>
      </c>
      <c r="C32" s="100" t="s">
        <v>764</v>
      </c>
      <c r="D32" s="99" t="s">
        <v>110</v>
      </c>
      <c r="E32" s="99" t="s">
        <v>65</v>
      </c>
      <c r="F32" s="99" t="s">
        <v>71</v>
      </c>
      <c r="G32" s="101">
        <v>0</v>
      </c>
    </row>
    <row r="33" spans="1:7" s="40" customFormat="1" ht="42" customHeight="1">
      <c r="A33" s="99" t="s">
        <v>116</v>
      </c>
      <c r="B33" s="99" t="s">
        <v>1028</v>
      </c>
      <c r="C33" s="100" t="s">
        <v>765</v>
      </c>
      <c r="D33" s="99" t="s">
        <v>114</v>
      </c>
      <c r="E33" s="99" t="s">
        <v>65</v>
      </c>
      <c r="F33" s="99" t="s">
        <v>73</v>
      </c>
      <c r="G33" s="101">
        <v>1</v>
      </c>
    </row>
    <row r="34" spans="1:7" s="40" customFormat="1" ht="57">
      <c r="A34" s="99" t="s">
        <v>761</v>
      </c>
      <c r="B34" s="99" t="s">
        <v>1028</v>
      </c>
      <c r="C34" s="100" t="s">
        <v>438</v>
      </c>
      <c r="D34" s="99" t="s">
        <v>117</v>
      </c>
      <c r="E34" s="99" t="s">
        <v>65</v>
      </c>
      <c r="F34" s="99" t="s">
        <v>71</v>
      </c>
      <c r="G34" s="103">
        <v>1</v>
      </c>
    </row>
    <row r="35" spans="1:7" s="40" customFormat="1" ht="50.25" customHeight="1">
      <c r="A35" s="99" t="s">
        <v>736</v>
      </c>
      <c r="B35" s="99" t="s">
        <v>1029</v>
      </c>
      <c r="C35" s="100" t="s">
        <v>739</v>
      </c>
      <c r="D35" s="99" t="s">
        <v>740</v>
      </c>
      <c r="E35" s="99" t="s">
        <v>576</v>
      </c>
      <c r="F35" s="99" t="s">
        <v>71</v>
      </c>
      <c r="G35" s="101">
        <v>1</v>
      </c>
    </row>
    <row r="36" spans="1:7" s="40" customFormat="1" ht="50.25" customHeight="1">
      <c r="A36" s="99" t="s">
        <v>380</v>
      </c>
      <c r="B36" s="99" t="s">
        <v>1029</v>
      </c>
      <c r="C36" s="100" t="s">
        <v>381</v>
      </c>
      <c r="D36" s="99" t="s">
        <v>382</v>
      </c>
      <c r="E36" s="99" t="s">
        <v>65</v>
      </c>
      <c r="F36" s="99" t="s">
        <v>71</v>
      </c>
      <c r="G36" s="101">
        <v>1</v>
      </c>
    </row>
    <row r="37" spans="1:7" s="40" customFormat="1" ht="50.25" customHeight="1">
      <c r="A37" s="99" t="s">
        <v>737</v>
      </c>
      <c r="B37" s="99" t="s">
        <v>1029</v>
      </c>
      <c r="C37" s="100" t="s">
        <v>381</v>
      </c>
      <c r="D37" s="99" t="s">
        <v>382</v>
      </c>
      <c r="E37" s="99" t="s">
        <v>576</v>
      </c>
      <c r="F37" s="99" t="s">
        <v>71</v>
      </c>
      <c r="G37" s="101">
        <v>1</v>
      </c>
    </row>
    <row r="38" spans="1:7" s="40" customFormat="1" ht="50.25" customHeight="1">
      <c r="A38" s="99" t="s">
        <v>118</v>
      </c>
      <c r="B38" s="99" t="s">
        <v>1029</v>
      </c>
      <c r="C38" s="100" t="s">
        <v>741</v>
      </c>
      <c r="D38" s="99" t="s">
        <v>742</v>
      </c>
      <c r="E38" s="99" t="s">
        <v>576</v>
      </c>
      <c r="F38" s="99" t="s">
        <v>71</v>
      </c>
      <c r="G38" s="101">
        <v>1</v>
      </c>
    </row>
    <row r="39" spans="1:7" s="40" customFormat="1" ht="50.25" customHeight="1">
      <c r="A39" s="99" t="s">
        <v>120</v>
      </c>
      <c r="B39" s="99" t="s">
        <v>1029</v>
      </c>
      <c r="C39" s="100" t="s">
        <v>743</v>
      </c>
      <c r="D39" s="99" t="s">
        <v>744</v>
      </c>
      <c r="E39" s="99" t="s">
        <v>576</v>
      </c>
      <c r="F39" s="99" t="s">
        <v>71</v>
      </c>
      <c r="G39" s="101">
        <v>1</v>
      </c>
    </row>
    <row r="40" spans="1:7" s="40" customFormat="1" ht="50.25" customHeight="1">
      <c r="A40" s="99" t="s">
        <v>385</v>
      </c>
      <c r="B40" s="99" t="s">
        <v>1029</v>
      </c>
      <c r="C40" s="100" t="s">
        <v>383</v>
      </c>
      <c r="D40" s="99" t="s">
        <v>834</v>
      </c>
      <c r="E40" s="99" t="s">
        <v>576</v>
      </c>
      <c r="F40" s="99" t="s">
        <v>73</v>
      </c>
      <c r="G40" s="101">
        <v>1</v>
      </c>
    </row>
    <row r="41" spans="1:7" s="40" customFormat="1" ht="50.25" customHeight="1">
      <c r="A41" s="99" t="s">
        <v>387</v>
      </c>
      <c r="B41" s="99" t="s">
        <v>1029</v>
      </c>
      <c r="C41" s="100" t="s">
        <v>384</v>
      </c>
      <c r="D41" s="99" t="s">
        <v>119</v>
      </c>
      <c r="E41" s="99" t="s">
        <v>65</v>
      </c>
      <c r="F41" s="99" t="s">
        <v>71</v>
      </c>
      <c r="G41" s="101">
        <v>1</v>
      </c>
    </row>
    <row r="42" spans="1:7" s="40" customFormat="1" ht="60" customHeight="1">
      <c r="A42" s="99" t="s">
        <v>738</v>
      </c>
      <c r="B42" s="99" t="s">
        <v>1029</v>
      </c>
      <c r="C42" s="100" t="s">
        <v>386</v>
      </c>
      <c r="D42" s="99" t="s">
        <v>388</v>
      </c>
      <c r="E42" s="99" t="s">
        <v>65</v>
      </c>
      <c r="F42" s="99" t="s">
        <v>78</v>
      </c>
      <c r="G42" s="101">
        <v>1</v>
      </c>
    </row>
    <row r="43" spans="1:7" s="40" customFormat="1" ht="60" customHeight="1">
      <c r="A43" s="99" t="s">
        <v>121</v>
      </c>
      <c r="B43" s="99" t="s">
        <v>1029</v>
      </c>
      <c r="C43" s="100" t="s">
        <v>745</v>
      </c>
      <c r="D43" s="99" t="s">
        <v>746</v>
      </c>
      <c r="E43" s="99" t="s">
        <v>576</v>
      </c>
      <c r="F43" s="99" t="s">
        <v>73</v>
      </c>
      <c r="G43" s="101">
        <v>1</v>
      </c>
    </row>
    <row r="44" spans="1:7" s="40" customFormat="1" ht="60" customHeight="1">
      <c r="A44" s="99" t="s">
        <v>123</v>
      </c>
      <c r="B44" s="99" t="s">
        <v>1029</v>
      </c>
      <c r="C44" s="100" t="s">
        <v>389</v>
      </c>
      <c r="D44" s="99" t="s">
        <v>390</v>
      </c>
      <c r="E44" s="99" t="s">
        <v>65</v>
      </c>
      <c r="F44" s="99" t="s">
        <v>73</v>
      </c>
      <c r="G44" s="101">
        <v>1</v>
      </c>
    </row>
    <row r="45" spans="1:7" s="40" customFormat="1" ht="55.5" customHeight="1">
      <c r="A45" s="99" t="s">
        <v>125</v>
      </c>
      <c r="B45" s="99" t="s">
        <v>1029</v>
      </c>
      <c r="C45" s="100" t="s">
        <v>391</v>
      </c>
      <c r="D45" s="99" t="s">
        <v>122</v>
      </c>
      <c r="E45" s="99" t="s">
        <v>65</v>
      </c>
      <c r="F45" s="99" t="s">
        <v>73</v>
      </c>
      <c r="G45" s="101">
        <v>1</v>
      </c>
    </row>
    <row r="46" spans="1:7" s="40" customFormat="1" ht="55.5" customHeight="1">
      <c r="A46" s="99" t="s">
        <v>126</v>
      </c>
      <c r="B46" s="99" t="s">
        <v>1029</v>
      </c>
      <c r="C46" s="100" t="s">
        <v>392</v>
      </c>
      <c r="D46" s="99" t="s">
        <v>124</v>
      </c>
      <c r="E46" s="99" t="s">
        <v>65</v>
      </c>
      <c r="F46" s="99" t="s">
        <v>73</v>
      </c>
      <c r="G46" s="101">
        <v>1</v>
      </c>
    </row>
    <row r="47" spans="1:7" s="40" customFormat="1" ht="55.5" customHeight="1">
      <c r="A47" s="99" t="s">
        <v>393</v>
      </c>
      <c r="B47" s="99" t="s">
        <v>1029</v>
      </c>
      <c r="C47" s="100" t="s">
        <v>394</v>
      </c>
      <c r="D47" s="99" t="s">
        <v>835</v>
      </c>
      <c r="E47" s="99" t="s">
        <v>65</v>
      </c>
      <c r="F47" s="99" t="s">
        <v>71</v>
      </c>
      <c r="G47" s="101">
        <v>1</v>
      </c>
    </row>
    <row r="48" spans="1:7" s="40" customFormat="1" ht="55.5" customHeight="1">
      <c r="A48" s="99" t="s">
        <v>395</v>
      </c>
      <c r="B48" s="99" t="s">
        <v>1029</v>
      </c>
      <c r="C48" s="100" t="s">
        <v>394</v>
      </c>
      <c r="D48" s="99" t="s">
        <v>836</v>
      </c>
      <c r="E48" s="99" t="s">
        <v>576</v>
      </c>
      <c r="F48" s="99" t="s">
        <v>71</v>
      </c>
      <c r="G48" s="101">
        <v>1</v>
      </c>
    </row>
    <row r="49" spans="1:7" s="40" customFormat="1" ht="55.5" customHeight="1">
      <c r="A49" s="99" t="s">
        <v>837</v>
      </c>
      <c r="B49" s="99" t="s">
        <v>1029</v>
      </c>
      <c r="C49" s="100" t="s">
        <v>396</v>
      </c>
      <c r="D49" s="99" t="s">
        <v>127</v>
      </c>
      <c r="E49" s="99" t="s">
        <v>65</v>
      </c>
      <c r="F49" s="99" t="s">
        <v>71</v>
      </c>
      <c r="G49" s="104">
        <v>0</v>
      </c>
    </row>
    <row r="50" spans="1:7" s="40" customFormat="1" ht="75" customHeight="1">
      <c r="A50" s="99" t="s">
        <v>838</v>
      </c>
      <c r="B50" s="99" t="s">
        <v>1029</v>
      </c>
      <c r="C50" s="100" t="s">
        <v>397</v>
      </c>
      <c r="D50" s="99" t="s">
        <v>128</v>
      </c>
      <c r="E50" s="99" t="s">
        <v>65</v>
      </c>
      <c r="F50" s="99" t="s">
        <v>71</v>
      </c>
      <c r="G50" s="101">
        <v>1</v>
      </c>
    </row>
    <row r="51" spans="1:7" s="84" customFormat="1" ht="54" customHeight="1">
      <c r="A51" s="99" t="s">
        <v>132</v>
      </c>
      <c r="B51" s="99" t="s">
        <v>1030</v>
      </c>
      <c r="C51" s="100" t="s">
        <v>398</v>
      </c>
      <c r="D51" s="99" t="s">
        <v>133</v>
      </c>
      <c r="E51" s="99" t="s">
        <v>65</v>
      </c>
      <c r="F51" s="99" t="s">
        <v>71</v>
      </c>
      <c r="G51" s="101">
        <v>1</v>
      </c>
    </row>
    <row r="52" spans="1:7" s="84" customFormat="1" ht="63" customHeight="1">
      <c r="A52" s="99" t="s">
        <v>134</v>
      </c>
      <c r="B52" s="99" t="s">
        <v>1030</v>
      </c>
      <c r="C52" s="100" t="s">
        <v>399</v>
      </c>
      <c r="D52" s="99" t="s">
        <v>135</v>
      </c>
      <c r="E52" s="99" t="s">
        <v>65</v>
      </c>
      <c r="F52" s="99" t="s">
        <v>71</v>
      </c>
      <c r="G52" s="101">
        <v>1</v>
      </c>
    </row>
    <row r="53" spans="1:7" s="84" customFormat="1" ht="63" customHeight="1">
      <c r="A53" s="99" t="s">
        <v>731</v>
      </c>
      <c r="B53" s="99" t="s">
        <v>1030</v>
      </c>
      <c r="C53" s="100" t="s">
        <v>732</v>
      </c>
      <c r="D53" s="99" t="s">
        <v>733</v>
      </c>
      <c r="E53" s="99" t="s">
        <v>576</v>
      </c>
      <c r="F53" s="99" t="s">
        <v>73</v>
      </c>
      <c r="G53" s="101">
        <v>1</v>
      </c>
    </row>
    <row r="54" spans="1:7" s="84" customFormat="1" ht="56.25" customHeight="1">
      <c r="A54" s="99" t="s">
        <v>136</v>
      </c>
      <c r="B54" s="99" t="s">
        <v>1030</v>
      </c>
      <c r="C54" s="100" t="s">
        <v>400</v>
      </c>
      <c r="D54" s="99" t="s">
        <v>137</v>
      </c>
      <c r="E54" s="99" t="s">
        <v>65</v>
      </c>
      <c r="F54" s="99" t="s">
        <v>71</v>
      </c>
      <c r="G54" s="101">
        <v>1</v>
      </c>
    </row>
    <row r="55" spans="1:7" s="84" customFormat="1" ht="43.5" customHeight="1">
      <c r="A55" s="99" t="s">
        <v>138</v>
      </c>
      <c r="B55" s="99" t="s">
        <v>1030</v>
      </c>
      <c r="C55" s="100" t="s">
        <v>401</v>
      </c>
      <c r="D55" s="99" t="s">
        <v>141</v>
      </c>
      <c r="E55" s="99" t="s">
        <v>65</v>
      </c>
      <c r="F55" s="99" t="s">
        <v>71</v>
      </c>
      <c r="G55" s="101">
        <v>1</v>
      </c>
    </row>
    <row r="56" spans="1:7" s="84" customFormat="1" ht="43.5" customHeight="1">
      <c r="A56" s="99" t="s">
        <v>139</v>
      </c>
      <c r="B56" s="99" t="s">
        <v>1030</v>
      </c>
      <c r="C56" s="100" t="s">
        <v>734</v>
      </c>
      <c r="D56" s="99" t="s">
        <v>735</v>
      </c>
      <c r="E56" s="99" t="s">
        <v>576</v>
      </c>
      <c r="F56" s="99" t="s">
        <v>73</v>
      </c>
      <c r="G56" s="101">
        <v>1</v>
      </c>
    </row>
    <row r="57" spans="1:7" s="84" customFormat="1" ht="57">
      <c r="A57" s="99" t="s">
        <v>140</v>
      </c>
      <c r="B57" s="99" t="s">
        <v>1030</v>
      </c>
      <c r="C57" s="100" t="s">
        <v>402</v>
      </c>
      <c r="D57" s="99" t="s">
        <v>142</v>
      </c>
      <c r="E57" s="99" t="s">
        <v>65</v>
      </c>
      <c r="F57" s="99" t="s">
        <v>71</v>
      </c>
      <c r="G57" s="101">
        <v>1</v>
      </c>
    </row>
    <row r="58" spans="1:7" s="84" customFormat="1" ht="63" customHeight="1">
      <c r="A58" s="99" t="s">
        <v>725</v>
      </c>
      <c r="B58" s="99" t="s">
        <v>1031</v>
      </c>
      <c r="C58" s="100" t="s">
        <v>727</v>
      </c>
      <c r="D58" s="105" t="s">
        <v>728</v>
      </c>
      <c r="E58" s="99" t="s">
        <v>576</v>
      </c>
      <c r="F58" s="99" t="s">
        <v>71</v>
      </c>
      <c r="G58" s="101">
        <v>1</v>
      </c>
    </row>
    <row r="59" spans="1:7" s="84" customFormat="1" ht="63" customHeight="1">
      <c r="A59" s="99" t="s">
        <v>252</v>
      </c>
      <c r="B59" s="99" t="s">
        <v>1031</v>
      </c>
      <c r="C59" s="100" t="s">
        <v>403</v>
      </c>
      <c r="D59" s="105" t="s">
        <v>404</v>
      </c>
      <c r="E59" s="99" t="s">
        <v>65</v>
      </c>
      <c r="F59" s="99" t="s">
        <v>71</v>
      </c>
      <c r="G59" s="101">
        <v>1</v>
      </c>
    </row>
    <row r="60" spans="1:7" s="84" customFormat="1" ht="63" customHeight="1">
      <c r="A60" s="99" t="s">
        <v>405</v>
      </c>
      <c r="B60" s="99" t="s">
        <v>1031</v>
      </c>
      <c r="C60" s="100" t="s">
        <v>403</v>
      </c>
      <c r="D60" s="105" t="s">
        <v>406</v>
      </c>
      <c r="E60" s="99" t="s">
        <v>65</v>
      </c>
      <c r="F60" s="99" t="s">
        <v>71</v>
      </c>
      <c r="G60" s="101">
        <v>1</v>
      </c>
    </row>
    <row r="61" spans="1:7" s="84" customFormat="1" ht="63" customHeight="1">
      <c r="A61" s="99" t="s">
        <v>253</v>
      </c>
      <c r="B61" s="99" t="s">
        <v>1031</v>
      </c>
      <c r="C61" s="100" t="s">
        <v>729</v>
      </c>
      <c r="D61" s="105" t="s">
        <v>730</v>
      </c>
      <c r="E61" s="99" t="s">
        <v>576</v>
      </c>
      <c r="F61" s="99" t="s">
        <v>71</v>
      </c>
      <c r="G61" s="101">
        <v>1</v>
      </c>
    </row>
    <row r="62" spans="1:7" s="84" customFormat="1" ht="56.25" customHeight="1">
      <c r="A62" s="99" t="s">
        <v>254</v>
      </c>
      <c r="B62" s="99" t="s">
        <v>1031</v>
      </c>
      <c r="C62" s="100" t="s">
        <v>407</v>
      </c>
      <c r="D62" s="105" t="s">
        <v>143</v>
      </c>
      <c r="E62" s="99" t="s">
        <v>65</v>
      </c>
      <c r="F62" s="99" t="s">
        <v>71</v>
      </c>
      <c r="G62" s="101">
        <v>1</v>
      </c>
    </row>
    <row r="63" spans="1:7" s="84" customFormat="1" ht="54.75" customHeight="1">
      <c r="A63" s="99" t="s">
        <v>255</v>
      </c>
      <c r="B63" s="99" t="s">
        <v>1031</v>
      </c>
      <c r="C63" s="100" t="s">
        <v>408</v>
      </c>
      <c r="D63" s="105" t="s">
        <v>144</v>
      </c>
      <c r="E63" s="99" t="s">
        <v>65</v>
      </c>
      <c r="F63" s="99" t="s">
        <v>71</v>
      </c>
      <c r="G63" s="102">
        <v>0.25</v>
      </c>
    </row>
    <row r="64" spans="1:7" s="84" customFormat="1" ht="43.5" customHeight="1">
      <c r="A64" s="99" t="s">
        <v>256</v>
      </c>
      <c r="B64" s="99" t="s">
        <v>1031</v>
      </c>
      <c r="C64" s="100" t="s">
        <v>409</v>
      </c>
      <c r="D64" s="105" t="s">
        <v>145</v>
      </c>
      <c r="E64" s="99" t="s">
        <v>65</v>
      </c>
      <c r="F64" s="99" t="s">
        <v>71</v>
      </c>
      <c r="G64" s="102">
        <v>0.01</v>
      </c>
    </row>
    <row r="65" spans="1:7" s="84" customFormat="1" ht="51.75" customHeight="1">
      <c r="A65" s="99" t="s">
        <v>257</v>
      </c>
      <c r="B65" s="99" t="s">
        <v>1031</v>
      </c>
      <c r="C65" s="100" t="s">
        <v>410</v>
      </c>
      <c r="D65" s="105" t="s">
        <v>146</v>
      </c>
      <c r="E65" s="99" t="s">
        <v>65</v>
      </c>
      <c r="F65" s="99" t="s">
        <v>71</v>
      </c>
      <c r="G65" s="102">
        <v>0.02</v>
      </c>
    </row>
    <row r="66" spans="1:7" s="84" customFormat="1" ht="56.25" customHeight="1">
      <c r="A66" s="99" t="s">
        <v>258</v>
      </c>
      <c r="B66" s="99" t="s">
        <v>1031</v>
      </c>
      <c r="C66" s="100" t="s">
        <v>411</v>
      </c>
      <c r="D66" s="105" t="s">
        <v>147</v>
      </c>
      <c r="E66" s="99" t="s">
        <v>65</v>
      </c>
      <c r="F66" s="99" t="s">
        <v>71</v>
      </c>
      <c r="G66" s="102">
        <v>0.7</v>
      </c>
    </row>
    <row r="67" spans="1:7" s="84" customFormat="1" ht="56.25" customHeight="1">
      <c r="A67" s="99" t="s">
        <v>259</v>
      </c>
      <c r="B67" s="99" t="s">
        <v>1031</v>
      </c>
      <c r="C67" s="100" t="s">
        <v>412</v>
      </c>
      <c r="D67" s="105" t="s">
        <v>148</v>
      </c>
      <c r="E67" s="99" t="s">
        <v>65</v>
      </c>
      <c r="F67" s="99" t="s">
        <v>71</v>
      </c>
      <c r="G67" s="102">
        <v>0.8</v>
      </c>
    </row>
    <row r="68" spans="1:7" s="84" customFormat="1" ht="56.25" customHeight="1">
      <c r="A68" s="99" t="s">
        <v>260</v>
      </c>
      <c r="B68" s="99" t="s">
        <v>1031</v>
      </c>
      <c r="C68" s="100" t="s">
        <v>413</v>
      </c>
      <c r="D68" s="105" t="s">
        <v>149</v>
      </c>
      <c r="E68" s="99" t="s">
        <v>65</v>
      </c>
      <c r="F68" s="99" t="s">
        <v>73</v>
      </c>
      <c r="G68" s="101">
        <v>1</v>
      </c>
    </row>
    <row r="69" spans="1:7" s="84" customFormat="1" ht="57">
      <c r="A69" s="99" t="s">
        <v>726</v>
      </c>
      <c r="B69" s="99" t="s">
        <v>1031</v>
      </c>
      <c r="C69" s="100" t="s">
        <v>414</v>
      </c>
      <c r="D69" s="105" t="s">
        <v>150</v>
      </c>
      <c r="E69" s="99" t="s">
        <v>65</v>
      </c>
      <c r="F69" s="99" t="s">
        <v>71</v>
      </c>
      <c r="G69" s="101">
        <v>1</v>
      </c>
    </row>
    <row r="70" spans="1:7" s="84" customFormat="1" ht="56.25" customHeight="1">
      <c r="A70" s="99" t="s">
        <v>718</v>
      </c>
      <c r="B70" s="99" t="s">
        <v>1032</v>
      </c>
      <c r="C70" s="100" t="s">
        <v>489</v>
      </c>
      <c r="D70" s="105" t="s">
        <v>278</v>
      </c>
      <c r="E70" s="99" t="s">
        <v>576</v>
      </c>
      <c r="F70" s="99" t="s">
        <v>71</v>
      </c>
      <c r="G70" s="101">
        <v>0.3</v>
      </c>
    </row>
    <row r="71" spans="1:7" s="84" customFormat="1" ht="56.25" customHeight="1">
      <c r="A71" s="99" t="s">
        <v>719</v>
      </c>
      <c r="B71" s="99" t="s">
        <v>1032</v>
      </c>
      <c r="C71" s="100" t="s">
        <v>490</v>
      </c>
      <c r="D71" s="105" t="s">
        <v>280</v>
      </c>
      <c r="E71" s="99" t="s">
        <v>576</v>
      </c>
      <c r="F71" s="99" t="s">
        <v>71</v>
      </c>
      <c r="G71" s="101">
        <v>0.7</v>
      </c>
    </row>
    <row r="72" spans="1:7" s="84" customFormat="1" ht="56.25" customHeight="1">
      <c r="A72" s="99" t="s">
        <v>415</v>
      </c>
      <c r="B72" s="99" t="s">
        <v>1032</v>
      </c>
      <c r="C72" s="100" t="s">
        <v>419</v>
      </c>
      <c r="D72" s="105" t="s">
        <v>282</v>
      </c>
      <c r="E72" s="99" t="s">
        <v>65</v>
      </c>
      <c r="F72" s="99" t="s">
        <v>71</v>
      </c>
      <c r="G72" s="101">
        <v>1</v>
      </c>
    </row>
    <row r="73" spans="1:7" s="84" customFormat="1" ht="56.25" customHeight="1">
      <c r="A73" s="99" t="s">
        <v>346</v>
      </c>
      <c r="B73" s="99" t="s">
        <v>1032</v>
      </c>
      <c r="C73" s="100" t="s">
        <v>491</v>
      </c>
      <c r="D73" s="105" t="s">
        <v>349</v>
      </c>
      <c r="E73" s="99" t="s">
        <v>576</v>
      </c>
      <c r="F73" s="99" t="s">
        <v>71</v>
      </c>
      <c r="G73" s="101">
        <v>1</v>
      </c>
    </row>
    <row r="74" spans="1:7" s="84" customFormat="1" ht="56.25" customHeight="1">
      <c r="A74" s="99" t="s">
        <v>347</v>
      </c>
      <c r="B74" s="99" t="s">
        <v>1032</v>
      </c>
      <c r="C74" s="100" t="s">
        <v>492</v>
      </c>
      <c r="D74" s="105" t="s">
        <v>345</v>
      </c>
      <c r="E74" s="99" t="s">
        <v>576</v>
      </c>
      <c r="F74" s="99" t="s">
        <v>71</v>
      </c>
      <c r="G74" s="101">
        <v>1</v>
      </c>
    </row>
    <row r="75" spans="1:7" s="84" customFormat="1" ht="56.25" customHeight="1">
      <c r="A75" s="99" t="s">
        <v>155</v>
      </c>
      <c r="B75" s="99" t="s">
        <v>1032</v>
      </c>
      <c r="C75" s="100" t="s">
        <v>420</v>
      </c>
      <c r="D75" s="105" t="s">
        <v>156</v>
      </c>
      <c r="E75" s="99" t="s">
        <v>65</v>
      </c>
      <c r="F75" s="99" t="s">
        <v>71</v>
      </c>
      <c r="G75" s="101">
        <v>1</v>
      </c>
    </row>
    <row r="76" spans="1:7" s="84" customFormat="1" ht="56.25" customHeight="1">
      <c r="A76" s="99" t="s">
        <v>157</v>
      </c>
      <c r="B76" s="99" t="s">
        <v>1032</v>
      </c>
      <c r="C76" s="100" t="s">
        <v>421</v>
      </c>
      <c r="D76" s="105" t="s">
        <v>158</v>
      </c>
      <c r="E76" s="99" t="s">
        <v>65</v>
      </c>
      <c r="F76" s="99" t="s">
        <v>73</v>
      </c>
      <c r="G76" s="101">
        <v>1</v>
      </c>
    </row>
    <row r="77" spans="1:7" s="84" customFormat="1" ht="80.25" customHeight="1">
      <c r="A77" s="99" t="s">
        <v>159</v>
      </c>
      <c r="B77" s="99" t="s">
        <v>1032</v>
      </c>
      <c r="C77" s="100" t="s">
        <v>616</v>
      </c>
      <c r="D77" s="105" t="s">
        <v>212</v>
      </c>
      <c r="E77" s="99" t="s">
        <v>576</v>
      </c>
      <c r="F77" s="99" t="s">
        <v>71</v>
      </c>
      <c r="G77" s="101">
        <v>1</v>
      </c>
    </row>
    <row r="78" spans="1:7" s="84" customFormat="1" ht="56.25" customHeight="1">
      <c r="A78" s="99" t="s">
        <v>160</v>
      </c>
      <c r="B78" s="99" t="s">
        <v>1032</v>
      </c>
      <c r="C78" s="100" t="s">
        <v>495</v>
      </c>
      <c r="D78" s="105" t="s">
        <v>723</v>
      </c>
      <c r="E78" s="99" t="s">
        <v>576</v>
      </c>
      <c r="F78" s="99" t="s">
        <v>71</v>
      </c>
      <c r="G78" s="101">
        <v>1</v>
      </c>
    </row>
    <row r="79" spans="1:7" s="84" customFormat="1" ht="56.25" customHeight="1">
      <c r="A79" s="99" t="s">
        <v>720</v>
      </c>
      <c r="B79" s="99" t="s">
        <v>1032</v>
      </c>
      <c r="C79" s="100" t="s">
        <v>422</v>
      </c>
      <c r="D79" s="105" t="s">
        <v>417</v>
      </c>
      <c r="E79" s="99" t="s">
        <v>576</v>
      </c>
      <c r="F79" s="99" t="s">
        <v>71</v>
      </c>
      <c r="G79" s="101">
        <v>1</v>
      </c>
    </row>
    <row r="80" spans="1:7" s="84" customFormat="1" ht="56.25" customHeight="1">
      <c r="A80" s="99" t="s">
        <v>416</v>
      </c>
      <c r="B80" s="99" t="s">
        <v>1032</v>
      </c>
      <c r="C80" s="100" t="s">
        <v>642</v>
      </c>
      <c r="D80" s="105" t="s">
        <v>724</v>
      </c>
      <c r="E80" s="99" t="s">
        <v>65</v>
      </c>
      <c r="F80" s="99" t="s">
        <v>71</v>
      </c>
      <c r="G80" s="101">
        <v>0.05</v>
      </c>
    </row>
    <row r="81" spans="1:7" s="84" customFormat="1" ht="56.25" customHeight="1">
      <c r="A81" s="99" t="s">
        <v>721</v>
      </c>
      <c r="B81" s="99" t="s">
        <v>1032</v>
      </c>
      <c r="C81" s="100" t="s">
        <v>423</v>
      </c>
      <c r="D81" s="105" t="s">
        <v>162</v>
      </c>
      <c r="E81" s="99" t="s">
        <v>65</v>
      </c>
      <c r="F81" s="99" t="s">
        <v>71</v>
      </c>
      <c r="G81" s="101">
        <v>1</v>
      </c>
    </row>
    <row r="82" spans="1:7" s="84" customFormat="1" ht="56.25" customHeight="1">
      <c r="A82" s="99" t="s">
        <v>161</v>
      </c>
      <c r="B82" s="99" t="s">
        <v>1032</v>
      </c>
      <c r="C82" s="100" t="s">
        <v>423</v>
      </c>
      <c r="D82" s="105" t="s">
        <v>644</v>
      </c>
      <c r="E82" s="99" t="s">
        <v>576</v>
      </c>
      <c r="F82" s="99" t="s">
        <v>71</v>
      </c>
      <c r="G82" s="101">
        <v>1</v>
      </c>
    </row>
    <row r="83" spans="1:7" s="84" customFormat="1" ht="56.25" customHeight="1">
      <c r="A83" s="99" t="s">
        <v>418</v>
      </c>
      <c r="B83" s="99" t="s">
        <v>1032</v>
      </c>
      <c r="C83" s="100" t="s">
        <v>424</v>
      </c>
      <c r="D83" s="105" t="s">
        <v>839</v>
      </c>
      <c r="E83" s="99" t="s">
        <v>65</v>
      </c>
      <c r="F83" s="99" t="s">
        <v>71</v>
      </c>
      <c r="G83" s="101">
        <v>0</v>
      </c>
    </row>
    <row r="84" spans="1:7" s="84" customFormat="1" ht="56.25" customHeight="1">
      <c r="A84" s="99" t="s">
        <v>722</v>
      </c>
      <c r="B84" s="99" t="s">
        <v>1032</v>
      </c>
      <c r="C84" s="100" t="s">
        <v>376</v>
      </c>
      <c r="D84" s="105" t="s">
        <v>163</v>
      </c>
      <c r="E84" s="99" t="s">
        <v>65</v>
      </c>
      <c r="F84" s="99" t="s">
        <v>71</v>
      </c>
      <c r="G84" s="101">
        <v>1</v>
      </c>
    </row>
    <row r="85" spans="1:7" s="40" customFormat="1" ht="38">
      <c r="A85" s="105" t="s">
        <v>168</v>
      </c>
      <c r="B85" s="99" t="s">
        <v>1033</v>
      </c>
      <c r="C85" s="100" t="s">
        <v>427</v>
      </c>
      <c r="D85" s="105" t="s">
        <v>169</v>
      </c>
      <c r="E85" s="99" t="s">
        <v>65</v>
      </c>
      <c r="F85" s="99" t="s">
        <v>71</v>
      </c>
      <c r="G85" s="101">
        <v>1</v>
      </c>
    </row>
    <row r="86" spans="1:7" s="40" customFormat="1" ht="38">
      <c r="A86" s="105" t="s">
        <v>715</v>
      </c>
      <c r="B86" s="99" t="s">
        <v>1033</v>
      </c>
      <c r="C86" s="100" t="s">
        <v>716</v>
      </c>
      <c r="D86" s="105" t="s">
        <v>717</v>
      </c>
      <c r="E86" s="99" t="s">
        <v>576</v>
      </c>
      <c r="F86" s="99" t="s">
        <v>71</v>
      </c>
      <c r="G86" s="101">
        <v>1</v>
      </c>
    </row>
    <row r="87" spans="1:7" s="40" customFormat="1" ht="55.5" customHeight="1">
      <c r="A87" s="105" t="s">
        <v>170</v>
      </c>
      <c r="B87" s="99" t="s">
        <v>1033</v>
      </c>
      <c r="C87" s="100" t="s">
        <v>428</v>
      </c>
      <c r="D87" s="105" t="s">
        <v>171</v>
      </c>
      <c r="E87" s="99" t="s">
        <v>65</v>
      </c>
      <c r="F87" s="99" t="s">
        <v>71</v>
      </c>
      <c r="G87" s="102">
        <v>1</v>
      </c>
    </row>
    <row r="88" spans="1:7" s="40" customFormat="1" ht="46.5" customHeight="1">
      <c r="A88" s="105" t="s">
        <v>172</v>
      </c>
      <c r="B88" s="99" t="s">
        <v>1033</v>
      </c>
      <c r="C88" s="100" t="s">
        <v>429</v>
      </c>
      <c r="D88" s="105" t="s">
        <v>173</v>
      </c>
      <c r="E88" s="99" t="s">
        <v>65</v>
      </c>
      <c r="F88" s="99" t="s">
        <v>71</v>
      </c>
      <c r="G88" s="102">
        <v>1</v>
      </c>
    </row>
    <row r="89" spans="1:7" s="40" customFormat="1" ht="58.5" customHeight="1">
      <c r="A89" s="105" t="s">
        <v>174</v>
      </c>
      <c r="B89" s="99" t="s">
        <v>1033</v>
      </c>
      <c r="C89" s="100" t="s">
        <v>430</v>
      </c>
      <c r="D89" s="105" t="s">
        <v>175</v>
      </c>
      <c r="E89" s="99" t="s">
        <v>65</v>
      </c>
      <c r="F89" s="99" t="s">
        <v>71</v>
      </c>
      <c r="G89" s="101">
        <v>1</v>
      </c>
    </row>
    <row r="90" spans="1:7" s="40" customFormat="1" ht="58.5" customHeight="1">
      <c r="A90" s="105" t="s">
        <v>176</v>
      </c>
      <c r="B90" s="99" t="s">
        <v>1033</v>
      </c>
      <c r="C90" s="100" t="s">
        <v>431</v>
      </c>
      <c r="D90" s="105" t="s">
        <v>177</v>
      </c>
      <c r="E90" s="99" t="s">
        <v>65</v>
      </c>
      <c r="F90" s="99" t="s">
        <v>73</v>
      </c>
      <c r="G90" s="101">
        <v>1</v>
      </c>
    </row>
    <row r="91" spans="1:7" s="40" customFormat="1" ht="58.5" customHeight="1">
      <c r="A91" s="105" t="s">
        <v>178</v>
      </c>
      <c r="B91" s="99" t="s">
        <v>1033</v>
      </c>
      <c r="C91" s="100" t="s">
        <v>432</v>
      </c>
      <c r="D91" s="105" t="s">
        <v>179</v>
      </c>
      <c r="E91" s="99" t="s">
        <v>65</v>
      </c>
      <c r="F91" s="99" t="s">
        <v>71</v>
      </c>
      <c r="G91" s="102">
        <v>0.95</v>
      </c>
    </row>
    <row r="92" spans="1:7" s="40" customFormat="1" ht="58.5" customHeight="1">
      <c r="A92" s="105" t="s">
        <v>180</v>
      </c>
      <c r="B92" s="99" t="s">
        <v>1033</v>
      </c>
      <c r="C92" s="100" t="s">
        <v>433</v>
      </c>
      <c r="D92" s="105" t="s">
        <v>181</v>
      </c>
      <c r="E92" s="99" t="s">
        <v>65</v>
      </c>
      <c r="F92" s="99" t="s">
        <v>71</v>
      </c>
      <c r="G92" s="102">
        <v>1</v>
      </c>
    </row>
    <row r="93" spans="1:7" s="40" customFormat="1" ht="58.5" customHeight="1">
      <c r="A93" s="105" t="s">
        <v>182</v>
      </c>
      <c r="B93" s="99" t="s">
        <v>1033</v>
      </c>
      <c r="C93" s="100" t="s">
        <v>413</v>
      </c>
      <c r="D93" s="105" t="s">
        <v>183</v>
      </c>
      <c r="E93" s="99" t="s">
        <v>65</v>
      </c>
      <c r="F93" s="99" t="s">
        <v>71</v>
      </c>
      <c r="G93" s="102">
        <v>1</v>
      </c>
    </row>
    <row r="94" spans="1:7" ht="78" customHeight="1">
      <c r="A94" s="105" t="s">
        <v>184</v>
      </c>
      <c r="B94" s="99" t="s">
        <v>1033</v>
      </c>
      <c r="C94" s="100" t="s">
        <v>434</v>
      </c>
      <c r="D94" s="105" t="s">
        <v>185</v>
      </c>
      <c r="E94" s="99" t="s">
        <v>65</v>
      </c>
      <c r="F94" s="99" t="s">
        <v>71</v>
      </c>
      <c r="G94" s="102">
        <v>1</v>
      </c>
    </row>
    <row r="95" spans="1:7" s="40" customFormat="1" ht="58.5" customHeight="1">
      <c r="A95" s="105" t="s">
        <v>191</v>
      </c>
      <c r="B95" s="99" t="s">
        <v>1034</v>
      </c>
      <c r="C95" s="100" t="s">
        <v>435</v>
      </c>
      <c r="D95" s="105" t="s">
        <v>192</v>
      </c>
      <c r="E95" s="99" t="s">
        <v>65</v>
      </c>
      <c r="F95" s="99" t="s">
        <v>71</v>
      </c>
      <c r="G95" s="102">
        <v>1</v>
      </c>
    </row>
    <row r="96" spans="1:7" s="40" customFormat="1" ht="58.5" customHeight="1">
      <c r="A96" s="105" t="s">
        <v>193</v>
      </c>
      <c r="B96" s="99" t="s">
        <v>1034</v>
      </c>
      <c r="C96" s="100" t="s">
        <v>435</v>
      </c>
      <c r="D96" s="105" t="s">
        <v>194</v>
      </c>
      <c r="E96" s="99" t="s">
        <v>65</v>
      </c>
      <c r="F96" s="99" t="s">
        <v>71</v>
      </c>
      <c r="G96" s="102">
        <v>1</v>
      </c>
    </row>
    <row r="97" spans="1:7" s="40" customFormat="1" ht="58.5" customHeight="1">
      <c r="A97" s="105" t="s">
        <v>710</v>
      </c>
      <c r="B97" s="99" t="s">
        <v>1034</v>
      </c>
      <c r="C97" s="100" t="s">
        <v>712</v>
      </c>
      <c r="D97" s="105" t="s">
        <v>713</v>
      </c>
      <c r="E97" s="99" t="s">
        <v>576</v>
      </c>
      <c r="F97" s="99" t="s">
        <v>71</v>
      </c>
      <c r="G97" s="102">
        <v>1</v>
      </c>
    </row>
    <row r="98" spans="1:7" s="40" customFormat="1" ht="58.5" customHeight="1">
      <c r="A98" s="105" t="s">
        <v>195</v>
      </c>
      <c r="B98" s="99" t="s">
        <v>1034</v>
      </c>
      <c r="C98" s="100" t="s">
        <v>436</v>
      </c>
      <c r="D98" s="105" t="s">
        <v>196</v>
      </c>
      <c r="E98" s="99" t="s">
        <v>65</v>
      </c>
      <c r="F98" s="99" t="s">
        <v>71</v>
      </c>
      <c r="G98" s="102">
        <v>1</v>
      </c>
    </row>
    <row r="99" spans="1:7" s="40" customFormat="1" ht="58.5" customHeight="1">
      <c r="A99" s="105" t="s">
        <v>711</v>
      </c>
      <c r="B99" s="99" t="s">
        <v>1034</v>
      </c>
      <c r="C99" s="100" t="s">
        <v>436</v>
      </c>
      <c r="D99" s="105" t="s">
        <v>714</v>
      </c>
      <c r="E99" s="99" t="s">
        <v>576</v>
      </c>
      <c r="F99" s="99" t="s">
        <v>71</v>
      </c>
      <c r="G99" s="102">
        <v>1</v>
      </c>
    </row>
    <row r="100" spans="1:7" s="40" customFormat="1" ht="58.5" customHeight="1">
      <c r="A100" s="105" t="s">
        <v>197</v>
      </c>
      <c r="B100" s="99" t="s">
        <v>1034</v>
      </c>
      <c r="C100" s="100" t="s">
        <v>437</v>
      </c>
      <c r="D100" s="105" t="s">
        <v>198</v>
      </c>
      <c r="E100" s="99" t="s">
        <v>65</v>
      </c>
      <c r="F100" s="99" t="s">
        <v>71</v>
      </c>
      <c r="G100" s="102">
        <v>0</v>
      </c>
    </row>
    <row r="101" spans="1:7" s="40" customFormat="1" ht="58.5" customHeight="1">
      <c r="A101" s="105" t="s">
        <v>199</v>
      </c>
      <c r="B101" s="99" t="s">
        <v>1034</v>
      </c>
      <c r="C101" s="100" t="s">
        <v>413</v>
      </c>
      <c r="D101" s="105" t="s">
        <v>183</v>
      </c>
      <c r="E101" s="99" t="s">
        <v>65</v>
      </c>
      <c r="F101" s="99" t="s">
        <v>71</v>
      </c>
      <c r="G101" s="102">
        <v>1</v>
      </c>
    </row>
    <row r="102" spans="1:7" s="40" customFormat="1" ht="58.5" customHeight="1">
      <c r="A102" s="105" t="s">
        <v>200</v>
      </c>
      <c r="B102" s="99" t="s">
        <v>1034</v>
      </c>
      <c r="C102" s="100" t="s">
        <v>438</v>
      </c>
      <c r="D102" s="105" t="s">
        <v>201</v>
      </c>
      <c r="E102" s="99" t="s">
        <v>65</v>
      </c>
      <c r="F102" s="99" t="s">
        <v>71</v>
      </c>
      <c r="G102" s="102">
        <v>1</v>
      </c>
    </row>
    <row r="103" spans="1:7" s="40" customFormat="1" ht="57">
      <c r="A103" s="105" t="s">
        <v>205</v>
      </c>
      <c r="B103" s="99" t="s">
        <v>1035</v>
      </c>
      <c r="C103" s="100" t="s">
        <v>445</v>
      </c>
      <c r="D103" s="105" t="s">
        <v>206</v>
      </c>
      <c r="E103" s="99" t="s">
        <v>65</v>
      </c>
      <c r="F103" s="99" t="s">
        <v>207</v>
      </c>
      <c r="G103" s="102">
        <v>1</v>
      </c>
    </row>
    <row r="104" spans="1:7" s="40" customFormat="1" ht="58.5" customHeight="1">
      <c r="A104" s="105" t="s">
        <v>208</v>
      </c>
      <c r="B104" s="99" t="s">
        <v>1035</v>
      </c>
      <c r="C104" s="100" t="s">
        <v>446</v>
      </c>
      <c r="D104" s="105" t="s">
        <v>209</v>
      </c>
      <c r="E104" s="99" t="s">
        <v>65</v>
      </c>
      <c r="F104" s="99" t="s">
        <v>207</v>
      </c>
      <c r="G104" s="102">
        <v>1</v>
      </c>
    </row>
    <row r="105" spans="1:7" s="40" customFormat="1" ht="58.5" customHeight="1">
      <c r="A105" s="105" t="s">
        <v>695</v>
      </c>
      <c r="B105" s="99" t="s">
        <v>1035</v>
      </c>
      <c r="C105" s="100" t="s">
        <v>841</v>
      </c>
      <c r="D105" s="105" t="s">
        <v>840</v>
      </c>
      <c r="E105" s="99" t="s">
        <v>65</v>
      </c>
      <c r="F105" s="99" t="s">
        <v>71</v>
      </c>
      <c r="G105" s="102">
        <v>1</v>
      </c>
    </row>
    <row r="106" spans="1:7" s="40" customFormat="1" ht="76">
      <c r="A106" s="105" t="s">
        <v>696</v>
      </c>
      <c r="B106" s="99" t="s">
        <v>1035</v>
      </c>
      <c r="C106" s="100" t="s">
        <v>700</v>
      </c>
      <c r="D106" s="105" t="s">
        <v>701</v>
      </c>
      <c r="E106" s="99" t="s">
        <v>576</v>
      </c>
      <c r="F106" s="99" t="s">
        <v>71</v>
      </c>
      <c r="G106" s="102">
        <v>1</v>
      </c>
    </row>
    <row r="107" spans="1:7" s="40" customFormat="1" ht="58.5" customHeight="1">
      <c r="A107" s="105" t="s">
        <v>697</v>
      </c>
      <c r="B107" s="99" t="s">
        <v>1035</v>
      </c>
      <c r="C107" s="100" t="s">
        <v>702</v>
      </c>
      <c r="D107" s="105" t="s">
        <v>703</v>
      </c>
      <c r="E107" s="99" t="s">
        <v>576</v>
      </c>
      <c r="F107" s="99" t="s">
        <v>71</v>
      </c>
      <c r="G107" s="102">
        <v>0</v>
      </c>
    </row>
    <row r="108" spans="1:7" s="40" customFormat="1" ht="58.5" customHeight="1">
      <c r="A108" s="105" t="s">
        <v>210</v>
      </c>
      <c r="B108" s="99" t="s">
        <v>1035</v>
      </c>
      <c r="C108" s="100" t="s">
        <v>704</v>
      </c>
      <c r="D108" s="105" t="s">
        <v>705</v>
      </c>
      <c r="E108" s="99" t="s">
        <v>576</v>
      </c>
      <c r="F108" s="99" t="s">
        <v>78</v>
      </c>
      <c r="G108" s="102">
        <v>1</v>
      </c>
    </row>
    <row r="109" spans="1:7" s="40" customFormat="1" ht="58.5" customHeight="1">
      <c r="A109" s="105" t="s">
        <v>698</v>
      </c>
      <c r="B109" s="99" t="s">
        <v>1035</v>
      </c>
      <c r="C109" s="100" t="s">
        <v>447</v>
      </c>
      <c r="D109" s="105" t="s">
        <v>211</v>
      </c>
      <c r="E109" s="99" t="s">
        <v>65</v>
      </c>
      <c r="F109" s="99" t="s">
        <v>78</v>
      </c>
      <c r="G109" s="102">
        <v>1</v>
      </c>
    </row>
    <row r="110" spans="1:7" s="40" customFormat="1" ht="58.5" customHeight="1">
      <c r="A110" s="105" t="s">
        <v>443</v>
      </c>
      <c r="B110" s="99" t="s">
        <v>1035</v>
      </c>
      <c r="C110" s="100" t="s">
        <v>706</v>
      </c>
      <c r="D110" s="105" t="s">
        <v>707</v>
      </c>
      <c r="E110" s="99" t="s">
        <v>576</v>
      </c>
      <c r="F110" s="99" t="s">
        <v>71</v>
      </c>
      <c r="G110" s="102">
        <v>1</v>
      </c>
    </row>
    <row r="111" spans="1:7" s="40" customFormat="1" ht="58.5" customHeight="1">
      <c r="A111" s="105" t="s">
        <v>213</v>
      </c>
      <c r="B111" s="99" t="s">
        <v>1035</v>
      </c>
      <c r="C111" s="100" t="s">
        <v>448</v>
      </c>
      <c r="D111" s="105" t="s">
        <v>444</v>
      </c>
      <c r="E111" s="99" t="s">
        <v>65</v>
      </c>
      <c r="F111" s="99" t="s">
        <v>73</v>
      </c>
      <c r="G111" s="102">
        <v>1</v>
      </c>
    </row>
    <row r="112" spans="1:7" s="40" customFormat="1" ht="58.5" customHeight="1">
      <c r="A112" s="105" t="s">
        <v>214</v>
      </c>
      <c r="B112" s="99" t="s">
        <v>1035</v>
      </c>
      <c r="C112" s="100" t="s">
        <v>448</v>
      </c>
      <c r="D112" s="105" t="s">
        <v>215</v>
      </c>
      <c r="E112" s="99" t="s">
        <v>65</v>
      </c>
      <c r="F112" s="99" t="s">
        <v>74</v>
      </c>
      <c r="G112" s="102">
        <v>0.3</v>
      </c>
    </row>
    <row r="113" spans="1:7" s="40" customFormat="1" ht="58.5" customHeight="1">
      <c r="A113" s="105" t="s">
        <v>699</v>
      </c>
      <c r="B113" s="99" t="s">
        <v>1035</v>
      </c>
      <c r="C113" s="100" t="s">
        <v>708</v>
      </c>
      <c r="D113" s="105" t="s">
        <v>709</v>
      </c>
      <c r="E113" s="99" t="s">
        <v>576</v>
      </c>
      <c r="F113" s="99" t="s">
        <v>71</v>
      </c>
      <c r="G113" s="102">
        <v>1</v>
      </c>
    </row>
    <row r="114" spans="1:7" s="40" customFormat="1" ht="58.5" customHeight="1">
      <c r="A114" s="105" t="s">
        <v>842</v>
      </c>
      <c r="B114" s="99" t="s">
        <v>1035</v>
      </c>
      <c r="C114" s="100" t="s">
        <v>438</v>
      </c>
      <c r="D114" s="105" t="s">
        <v>216</v>
      </c>
      <c r="E114" s="99" t="s">
        <v>65</v>
      </c>
      <c r="F114" s="99" t="s">
        <v>71</v>
      </c>
      <c r="G114" s="102">
        <v>1</v>
      </c>
    </row>
    <row r="115" spans="1:7" s="40" customFormat="1" ht="58.5" customHeight="1">
      <c r="A115" s="105" t="s">
        <v>222</v>
      </c>
      <c r="B115" s="99" t="s">
        <v>1036</v>
      </c>
      <c r="C115" s="100" t="s">
        <v>450</v>
      </c>
      <c r="D115" s="105" t="s">
        <v>223</v>
      </c>
      <c r="E115" s="99" t="s">
        <v>65</v>
      </c>
      <c r="F115" s="99" t="s">
        <v>74</v>
      </c>
      <c r="G115" s="102">
        <v>1</v>
      </c>
    </row>
    <row r="116" spans="1:7" s="40" customFormat="1" ht="58.5" customHeight="1">
      <c r="A116" s="105" t="s">
        <v>449</v>
      </c>
      <c r="B116" s="99" t="s">
        <v>1036</v>
      </c>
      <c r="C116" s="100" t="s">
        <v>450</v>
      </c>
      <c r="D116" s="105" t="s">
        <v>451</v>
      </c>
      <c r="E116" s="99" t="s">
        <v>65</v>
      </c>
      <c r="F116" s="99" t="s">
        <v>78</v>
      </c>
      <c r="G116" s="102">
        <v>1</v>
      </c>
    </row>
    <row r="117" spans="1:7" s="40" customFormat="1" ht="58.5" customHeight="1">
      <c r="A117" s="105" t="s">
        <v>685</v>
      </c>
      <c r="B117" s="99" t="s">
        <v>1036</v>
      </c>
      <c r="C117" s="100" t="s">
        <v>687</v>
      </c>
      <c r="D117" s="105" t="s">
        <v>688</v>
      </c>
      <c r="E117" s="99" t="s">
        <v>576</v>
      </c>
      <c r="F117" s="99" t="s">
        <v>71</v>
      </c>
      <c r="G117" s="102">
        <v>0.95</v>
      </c>
    </row>
    <row r="118" spans="1:7" s="40" customFormat="1" ht="58.5" customHeight="1">
      <c r="A118" s="105" t="s">
        <v>686</v>
      </c>
      <c r="B118" s="99" t="s">
        <v>1036</v>
      </c>
      <c r="C118" s="100" t="s">
        <v>689</v>
      </c>
      <c r="D118" s="105" t="s">
        <v>690</v>
      </c>
      <c r="E118" s="99" t="s">
        <v>576</v>
      </c>
      <c r="F118" s="99" t="s">
        <v>73</v>
      </c>
      <c r="G118" s="102">
        <v>1</v>
      </c>
    </row>
    <row r="119" spans="1:7" s="40" customFormat="1" ht="58.5" customHeight="1">
      <c r="A119" s="105" t="s">
        <v>224</v>
      </c>
      <c r="B119" s="99" t="s">
        <v>1036</v>
      </c>
      <c r="C119" s="100" t="s">
        <v>691</v>
      </c>
      <c r="D119" s="105" t="s">
        <v>692</v>
      </c>
      <c r="E119" s="99" t="s">
        <v>576</v>
      </c>
      <c r="F119" s="99" t="s">
        <v>71</v>
      </c>
      <c r="G119" s="102">
        <v>1</v>
      </c>
    </row>
    <row r="120" spans="1:7" s="40" customFormat="1" ht="58.5" customHeight="1">
      <c r="A120" s="105" t="s">
        <v>453</v>
      </c>
      <c r="B120" s="99" t="s">
        <v>1036</v>
      </c>
      <c r="C120" s="100" t="s">
        <v>452</v>
      </c>
      <c r="D120" s="105" t="s">
        <v>225</v>
      </c>
      <c r="E120" s="99" t="s">
        <v>65</v>
      </c>
      <c r="F120" s="99" t="s">
        <v>71</v>
      </c>
      <c r="G120" s="106">
        <v>5.0000000000000001E-3</v>
      </c>
    </row>
    <row r="121" spans="1:7" s="40" customFormat="1" ht="58.5" customHeight="1">
      <c r="A121" s="105" t="s">
        <v>454</v>
      </c>
      <c r="B121" s="99" t="s">
        <v>1036</v>
      </c>
      <c r="C121" s="100" t="s">
        <v>455</v>
      </c>
      <c r="D121" s="105" t="s">
        <v>456</v>
      </c>
      <c r="E121" s="99" t="s">
        <v>65</v>
      </c>
      <c r="F121" s="99" t="s">
        <v>286</v>
      </c>
      <c r="G121" s="102">
        <v>1</v>
      </c>
    </row>
    <row r="122" spans="1:7" s="40" customFormat="1" ht="58.5" customHeight="1">
      <c r="A122" s="105" t="s">
        <v>226</v>
      </c>
      <c r="B122" s="99" t="s">
        <v>1036</v>
      </c>
      <c r="C122" s="100" t="s">
        <v>693</v>
      </c>
      <c r="D122" s="105" t="s">
        <v>694</v>
      </c>
      <c r="E122" s="99" t="s">
        <v>576</v>
      </c>
      <c r="F122" s="99" t="s">
        <v>71</v>
      </c>
      <c r="G122" s="102">
        <v>1</v>
      </c>
    </row>
    <row r="123" spans="1:7" s="40" customFormat="1" ht="58.5" customHeight="1">
      <c r="A123" s="105" t="s">
        <v>457</v>
      </c>
      <c r="B123" s="99" t="s">
        <v>1036</v>
      </c>
      <c r="C123" s="100" t="s">
        <v>458</v>
      </c>
      <c r="D123" s="105" t="s">
        <v>227</v>
      </c>
      <c r="E123" s="99" t="s">
        <v>65</v>
      </c>
      <c r="F123" s="99" t="s">
        <v>71</v>
      </c>
      <c r="G123" s="102">
        <v>1</v>
      </c>
    </row>
    <row r="124" spans="1:7" s="40" customFormat="1" ht="58.5" customHeight="1">
      <c r="A124" s="105" t="s">
        <v>672</v>
      </c>
      <c r="B124" s="99" t="s">
        <v>1037</v>
      </c>
      <c r="C124" s="100" t="s">
        <v>675</v>
      </c>
      <c r="D124" s="105" t="s">
        <v>676</v>
      </c>
      <c r="E124" s="99" t="s">
        <v>576</v>
      </c>
      <c r="F124" s="99" t="s">
        <v>71</v>
      </c>
      <c r="G124" s="102">
        <v>1</v>
      </c>
    </row>
    <row r="125" spans="1:7" s="40" customFormat="1" ht="58.5" customHeight="1">
      <c r="A125" s="105" t="s">
        <v>673</v>
      </c>
      <c r="B125" s="99" t="s">
        <v>1037</v>
      </c>
      <c r="C125" s="100" t="s">
        <v>677</v>
      </c>
      <c r="D125" s="105" t="s">
        <v>678</v>
      </c>
      <c r="E125" s="99" t="s">
        <v>576</v>
      </c>
      <c r="F125" s="99" t="s">
        <v>71</v>
      </c>
      <c r="G125" s="102">
        <v>1</v>
      </c>
    </row>
    <row r="126" spans="1:7" s="40" customFormat="1" ht="58.5" customHeight="1">
      <c r="A126" s="105" t="s">
        <v>459</v>
      </c>
      <c r="B126" s="99" t="s">
        <v>1037</v>
      </c>
      <c r="C126" s="100" t="s">
        <v>460</v>
      </c>
      <c r="D126" s="105" t="s">
        <v>229</v>
      </c>
      <c r="E126" s="99" t="s">
        <v>65</v>
      </c>
      <c r="F126" s="99" t="s">
        <v>71</v>
      </c>
      <c r="G126" s="102">
        <v>1</v>
      </c>
    </row>
    <row r="127" spans="1:7" s="40" customFormat="1" ht="58.5" customHeight="1">
      <c r="A127" s="105" t="s">
        <v>228</v>
      </c>
      <c r="B127" s="99" t="s">
        <v>1037</v>
      </c>
      <c r="C127" s="100" t="s">
        <v>679</v>
      </c>
      <c r="D127" s="105" t="s">
        <v>680</v>
      </c>
      <c r="E127" s="99" t="s">
        <v>576</v>
      </c>
      <c r="F127" s="99" t="s">
        <v>71</v>
      </c>
      <c r="G127" s="102">
        <v>0</v>
      </c>
    </row>
    <row r="128" spans="1:7" s="40" customFormat="1" ht="58.5" customHeight="1">
      <c r="A128" s="105" t="s">
        <v>674</v>
      </c>
      <c r="B128" s="99" t="s">
        <v>1037</v>
      </c>
      <c r="C128" s="100" t="s">
        <v>681</v>
      </c>
      <c r="D128" s="105" t="s">
        <v>682</v>
      </c>
      <c r="E128" s="99" t="s">
        <v>576</v>
      </c>
      <c r="F128" s="99" t="s">
        <v>71</v>
      </c>
      <c r="G128" s="102">
        <v>1</v>
      </c>
    </row>
    <row r="129" spans="1:7" s="40" customFormat="1" ht="76">
      <c r="A129" s="105" t="s">
        <v>230</v>
      </c>
      <c r="B129" s="99" t="s">
        <v>1037</v>
      </c>
      <c r="C129" s="100" t="s">
        <v>461</v>
      </c>
      <c r="D129" s="105" t="s">
        <v>843</v>
      </c>
      <c r="E129" s="99" t="s">
        <v>65</v>
      </c>
      <c r="F129" s="99" t="s">
        <v>71</v>
      </c>
      <c r="G129" s="102">
        <v>1</v>
      </c>
    </row>
    <row r="130" spans="1:7" s="40" customFormat="1" ht="58.5" customHeight="1">
      <c r="A130" s="105" t="s">
        <v>231</v>
      </c>
      <c r="B130" s="99" t="s">
        <v>1037</v>
      </c>
      <c r="C130" s="100" t="s">
        <v>683</v>
      </c>
      <c r="D130" s="105" t="s">
        <v>684</v>
      </c>
      <c r="E130" s="99" t="s">
        <v>576</v>
      </c>
      <c r="F130" s="99" t="s">
        <v>71</v>
      </c>
      <c r="G130" s="102">
        <v>1</v>
      </c>
    </row>
    <row r="131" spans="1:7" s="40" customFormat="1" ht="38">
      <c r="A131" s="105" t="s">
        <v>462</v>
      </c>
      <c r="B131" s="99" t="s">
        <v>1037</v>
      </c>
      <c r="C131" s="100" t="s">
        <v>463</v>
      </c>
      <c r="D131" s="105" t="s">
        <v>233</v>
      </c>
      <c r="E131" s="99" t="s">
        <v>65</v>
      </c>
      <c r="F131" s="99" t="s">
        <v>78</v>
      </c>
      <c r="G131" s="102">
        <v>1</v>
      </c>
    </row>
    <row r="132" spans="1:7" s="40" customFormat="1" ht="38">
      <c r="A132" s="105" t="s">
        <v>232</v>
      </c>
      <c r="B132" s="99" t="s">
        <v>1037</v>
      </c>
      <c r="C132" s="100" t="s">
        <v>464</v>
      </c>
      <c r="D132" s="105" t="s">
        <v>844</v>
      </c>
      <c r="E132" s="99" t="s">
        <v>576</v>
      </c>
      <c r="F132" s="99" t="s">
        <v>71</v>
      </c>
      <c r="G132" s="102">
        <v>0.9</v>
      </c>
    </row>
    <row r="133" spans="1:7" s="40" customFormat="1" ht="57">
      <c r="A133" s="105" t="s">
        <v>465</v>
      </c>
      <c r="B133" s="99" t="s">
        <v>1037</v>
      </c>
      <c r="C133" s="100" t="s">
        <v>376</v>
      </c>
      <c r="D133" s="105" t="s">
        <v>234</v>
      </c>
      <c r="E133" s="99" t="s">
        <v>65</v>
      </c>
      <c r="F133" s="99" t="s">
        <v>71</v>
      </c>
      <c r="G133" s="102">
        <v>1</v>
      </c>
    </row>
    <row r="134" spans="1:7" s="40" customFormat="1" ht="38">
      <c r="A134" s="105" t="s">
        <v>650</v>
      </c>
      <c r="B134" s="99" t="s">
        <v>1038</v>
      </c>
      <c r="C134" s="100" t="s">
        <v>657</v>
      </c>
      <c r="D134" s="105" t="s">
        <v>658</v>
      </c>
      <c r="E134" s="99" t="s">
        <v>576</v>
      </c>
      <c r="F134" s="99" t="s">
        <v>71</v>
      </c>
      <c r="G134" s="102">
        <v>1</v>
      </c>
    </row>
    <row r="135" spans="1:7" s="40" customFormat="1" ht="38">
      <c r="A135" s="105" t="s">
        <v>651</v>
      </c>
      <c r="B135" s="99" t="s">
        <v>1038</v>
      </c>
      <c r="C135" s="100" t="s">
        <v>659</v>
      </c>
      <c r="D135" s="105" t="s">
        <v>660</v>
      </c>
      <c r="E135" s="99" t="s">
        <v>576</v>
      </c>
      <c r="F135" s="99" t="s">
        <v>71</v>
      </c>
      <c r="G135" s="102">
        <v>1</v>
      </c>
    </row>
    <row r="136" spans="1:7" s="40" customFormat="1" ht="38">
      <c r="A136" s="105" t="s">
        <v>235</v>
      </c>
      <c r="B136" s="99" t="s">
        <v>1038</v>
      </c>
      <c r="C136" s="100" t="s">
        <v>466</v>
      </c>
      <c r="D136" s="105" t="s">
        <v>467</v>
      </c>
      <c r="E136" s="99" t="s">
        <v>316</v>
      </c>
      <c r="F136" s="99" t="s">
        <v>286</v>
      </c>
      <c r="G136" s="102">
        <v>1</v>
      </c>
    </row>
    <row r="137" spans="1:7" s="40" customFormat="1" ht="38">
      <c r="A137" s="105" t="s">
        <v>237</v>
      </c>
      <c r="B137" s="99" t="s">
        <v>1038</v>
      </c>
      <c r="C137" s="100" t="s">
        <v>469</v>
      </c>
      <c r="D137" s="105" t="s">
        <v>468</v>
      </c>
      <c r="E137" s="99" t="s">
        <v>316</v>
      </c>
      <c r="F137" s="99" t="s">
        <v>286</v>
      </c>
      <c r="G137" s="102">
        <v>1</v>
      </c>
    </row>
    <row r="138" spans="1:7" s="40" customFormat="1" ht="38">
      <c r="A138" s="105" t="s">
        <v>238</v>
      </c>
      <c r="B138" s="99" t="s">
        <v>1038</v>
      </c>
      <c r="C138" s="100" t="s">
        <v>471</v>
      </c>
      <c r="D138" s="105" t="s">
        <v>470</v>
      </c>
      <c r="E138" s="99" t="s">
        <v>316</v>
      </c>
      <c r="F138" s="99" t="s">
        <v>286</v>
      </c>
      <c r="G138" s="102">
        <v>1</v>
      </c>
    </row>
    <row r="139" spans="1:7" s="40" customFormat="1" ht="38">
      <c r="A139" s="105" t="s">
        <v>240</v>
      </c>
      <c r="B139" s="99" t="s">
        <v>1038</v>
      </c>
      <c r="C139" s="100" t="s">
        <v>472</v>
      </c>
      <c r="D139" s="105" t="s">
        <v>239</v>
      </c>
      <c r="E139" s="99" t="s">
        <v>316</v>
      </c>
      <c r="F139" s="99" t="s">
        <v>286</v>
      </c>
      <c r="G139" s="102">
        <v>1</v>
      </c>
    </row>
    <row r="140" spans="1:7" s="40" customFormat="1" ht="57">
      <c r="A140" s="105" t="s">
        <v>652</v>
      </c>
      <c r="B140" s="99" t="s">
        <v>1038</v>
      </c>
      <c r="C140" s="100" t="s">
        <v>661</v>
      </c>
      <c r="D140" s="105" t="s">
        <v>662</v>
      </c>
      <c r="E140" s="99" t="s">
        <v>576</v>
      </c>
      <c r="F140" s="99" t="s">
        <v>286</v>
      </c>
      <c r="G140" s="102">
        <v>1</v>
      </c>
    </row>
    <row r="141" spans="1:7" s="40" customFormat="1" ht="38">
      <c r="A141" s="105" t="s">
        <v>473</v>
      </c>
      <c r="B141" s="99" t="s">
        <v>1038</v>
      </c>
      <c r="C141" s="100" t="s">
        <v>474</v>
      </c>
      <c r="D141" s="105" t="s">
        <v>236</v>
      </c>
      <c r="E141" s="99" t="s">
        <v>65</v>
      </c>
      <c r="F141" s="99" t="s">
        <v>71</v>
      </c>
      <c r="G141" s="102">
        <v>1</v>
      </c>
    </row>
    <row r="142" spans="1:7" s="40" customFormat="1" ht="38">
      <c r="A142" s="105" t="s">
        <v>242</v>
      </c>
      <c r="B142" s="99" t="s">
        <v>1038</v>
      </c>
      <c r="C142" s="100" t="s">
        <v>663</v>
      </c>
      <c r="D142" s="105" t="s">
        <v>475</v>
      </c>
      <c r="E142" s="99" t="s">
        <v>576</v>
      </c>
      <c r="F142" s="99" t="s">
        <v>71</v>
      </c>
      <c r="G142" s="102">
        <v>1</v>
      </c>
    </row>
    <row r="143" spans="1:7" s="40" customFormat="1" ht="38">
      <c r="A143" s="105" t="s">
        <v>244</v>
      </c>
      <c r="B143" s="99" t="s">
        <v>1038</v>
      </c>
      <c r="C143" s="100" t="s">
        <v>477</v>
      </c>
      <c r="D143" s="105" t="s">
        <v>476</v>
      </c>
      <c r="E143" s="99" t="s">
        <v>65</v>
      </c>
      <c r="F143" s="99" t="s">
        <v>73</v>
      </c>
      <c r="G143" s="102">
        <v>1</v>
      </c>
    </row>
    <row r="144" spans="1:7" s="40" customFormat="1" ht="38">
      <c r="A144" s="105" t="s">
        <v>653</v>
      </c>
      <c r="B144" s="99" t="s">
        <v>1038</v>
      </c>
      <c r="C144" s="100" t="s">
        <v>664</v>
      </c>
      <c r="D144" s="105" t="s">
        <v>665</v>
      </c>
      <c r="E144" s="99" t="s">
        <v>576</v>
      </c>
      <c r="F144" s="99" t="s">
        <v>71</v>
      </c>
      <c r="G144" s="102">
        <v>1</v>
      </c>
    </row>
    <row r="145" spans="1:7" s="40" customFormat="1" ht="38">
      <c r="A145" s="105" t="s">
        <v>654</v>
      </c>
      <c r="B145" s="99" t="s">
        <v>1038</v>
      </c>
      <c r="C145" s="100" t="s">
        <v>666</v>
      </c>
      <c r="D145" s="105" t="s">
        <v>667</v>
      </c>
      <c r="E145" s="99" t="s">
        <v>576</v>
      </c>
      <c r="F145" s="99" t="s">
        <v>71</v>
      </c>
      <c r="G145" s="102">
        <v>1</v>
      </c>
    </row>
    <row r="146" spans="1:7" s="40" customFormat="1" ht="20">
      <c r="A146" s="105" t="s">
        <v>655</v>
      </c>
      <c r="B146" s="99" t="s">
        <v>1038</v>
      </c>
      <c r="C146" s="100" t="s">
        <v>668</v>
      </c>
      <c r="D146" s="105" t="s">
        <v>669</v>
      </c>
      <c r="E146" s="99" t="s">
        <v>576</v>
      </c>
      <c r="F146" s="99" t="s">
        <v>71</v>
      </c>
      <c r="G146" s="102">
        <v>0</v>
      </c>
    </row>
    <row r="147" spans="1:7" s="40" customFormat="1" ht="38">
      <c r="A147" s="105" t="s">
        <v>656</v>
      </c>
      <c r="B147" s="99" t="s">
        <v>1038</v>
      </c>
      <c r="C147" s="100" t="s">
        <v>670</v>
      </c>
      <c r="D147" s="105" t="s">
        <v>671</v>
      </c>
      <c r="E147" s="99" t="s">
        <v>576</v>
      </c>
      <c r="F147" s="99" t="s">
        <v>71</v>
      </c>
      <c r="G147" s="102">
        <v>1</v>
      </c>
    </row>
    <row r="148" spans="1:7" s="40" customFormat="1" ht="38">
      <c r="A148" s="105" t="s">
        <v>478</v>
      </c>
      <c r="B148" s="99" t="s">
        <v>1038</v>
      </c>
      <c r="C148" s="100" t="s">
        <v>845</v>
      </c>
      <c r="D148" s="105" t="s">
        <v>846</v>
      </c>
      <c r="E148" s="99" t="s">
        <v>576</v>
      </c>
      <c r="F148" s="99" t="s">
        <v>73</v>
      </c>
      <c r="G148" s="102">
        <v>1</v>
      </c>
    </row>
    <row r="149" spans="1:7" s="40" customFormat="1" ht="38">
      <c r="A149" s="105" t="s">
        <v>480</v>
      </c>
      <c r="B149" s="99" t="s">
        <v>1038</v>
      </c>
      <c r="C149" s="100" t="s">
        <v>479</v>
      </c>
      <c r="D149" s="105" t="s">
        <v>243</v>
      </c>
      <c r="E149" s="99" t="s">
        <v>65</v>
      </c>
      <c r="F149" s="99" t="s">
        <v>71</v>
      </c>
      <c r="G149" s="102">
        <v>1</v>
      </c>
    </row>
    <row r="150" spans="1:7" s="40" customFormat="1" ht="57">
      <c r="A150" s="105" t="s">
        <v>847</v>
      </c>
      <c r="B150" s="99" t="s">
        <v>1038</v>
      </c>
      <c r="C150" s="100" t="s">
        <v>438</v>
      </c>
      <c r="D150" s="105" t="s">
        <v>245</v>
      </c>
      <c r="E150" s="99" t="s">
        <v>65</v>
      </c>
      <c r="F150" s="99" t="s">
        <v>71</v>
      </c>
      <c r="G150" s="102">
        <v>1</v>
      </c>
    </row>
    <row r="151" spans="1:7" s="40" customFormat="1" ht="38">
      <c r="A151" s="105" t="s">
        <v>645</v>
      </c>
      <c r="B151" s="99" t="s">
        <v>1039</v>
      </c>
      <c r="C151" s="100" t="s">
        <v>424</v>
      </c>
      <c r="D151" s="105" t="s">
        <v>648</v>
      </c>
      <c r="E151" s="99" t="s">
        <v>576</v>
      </c>
      <c r="F151" s="99" t="s">
        <v>71</v>
      </c>
      <c r="G151" s="102">
        <v>1</v>
      </c>
    </row>
    <row r="152" spans="1:7" s="40" customFormat="1" ht="38">
      <c r="A152" s="105" t="s">
        <v>246</v>
      </c>
      <c r="B152" s="99" t="s">
        <v>1039</v>
      </c>
      <c r="C152" s="100" t="s">
        <v>482</v>
      </c>
      <c r="D152" s="105" t="s">
        <v>247</v>
      </c>
      <c r="E152" s="99" t="s">
        <v>65</v>
      </c>
      <c r="F152" s="99" t="s">
        <v>71</v>
      </c>
      <c r="G152" s="102">
        <v>1</v>
      </c>
    </row>
    <row r="153" spans="1:7" s="40" customFormat="1" ht="38">
      <c r="A153" s="105" t="s">
        <v>646</v>
      </c>
      <c r="B153" s="99" t="s">
        <v>1039</v>
      </c>
      <c r="C153" s="100" t="s">
        <v>649</v>
      </c>
      <c r="D153" s="105" t="s">
        <v>848</v>
      </c>
      <c r="E153" s="99" t="s">
        <v>576</v>
      </c>
      <c r="F153" s="99" t="s">
        <v>71</v>
      </c>
      <c r="G153" s="102">
        <v>0</v>
      </c>
    </row>
    <row r="154" spans="1:7" s="40" customFormat="1" ht="38">
      <c r="A154" s="105" t="s">
        <v>647</v>
      </c>
      <c r="B154" s="99" t="s">
        <v>1039</v>
      </c>
      <c r="C154" s="100" t="s">
        <v>483</v>
      </c>
      <c r="D154" s="105" t="s">
        <v>481</v>
      </c>
      <c r="E154" s="99" t="s">
        <v>65</v>
      </c>
      <c r="F154" s="99" t="s">
        <v>286</v>
      </c>
      <c r="G154" s="102">
        <v>1</v>
      </c>
    </row>
    <row r="155" spans="1:7" s="40" customFormat="1" ht="38">
      <c r="A155" s="105" t="s">
        <v>849</v>
      </c>
      <c r="B155" s="99" t="s">
        <v>1039</v>
      </c>
      <c r="C155" s="100" t="s">
        <v>485</v>
      </c>
      <c r="D155" s="105" t="s">
        <v>484</v>
      </c>
      <c r="E155" s="99" t="s">
        <v>65</v>
      </c>
      <c r="F155" s="99" t="s">
        <v>78</v>
      </c>
      <c r="G155" s="102">
        <v>0.95</v>
      </c>
    </row>
    <row r="156" spans="1:7" s="40" customFormat="1" ht="38">
      <c r="A156" s="105" t="s">
        <v>248</v>
      </c>
      <c r="B156" s="99" t="s">
        <v>1039</v>
      </c>
      <c r="C156" s="100" t="s">
        <v>851</v>
      </c>
      <c r="D156" s="105" t="s">
        <v>850</v>
      </c>
      <c r="E156" s="99" t="s">
        <v>65</v>
      </c>
      <c r="F156" s="99" t="s">
        <v>286</v>
      </c>
      <c r="G156" s="102">
        <v>1</v>
      </c>
    </row>
    <row r="157" spans="1:7" s="40" customFormat="1" ht="38">
      <c r="A157" s="105" t="s">
        <v>249</v>
      </c>
      <c r="B157" s="99" t="s">
        <v>1039</v>
      </c>
      <c r="C157" s="100" t="s">
        <v>487</v>
      </c>
      <c r="D157" s="105" t="s">
        <v>486</v>
      </c>
      <c r="E157" s="99" t="s">
        <v>65</v>
      </c>
      <c r="F157" s="99" t="s">
        <v>71</v>
      </c>
      <c r="G157" s="102">
        <v>1</v>
      </c>
    </row>
    <row r="158" spans="1:7" s="40" customFormat="1" ht="38">
      <c r="A158" s="105" t="s">
        <v>488</v>
      </c>
      <c r="B158" s="99" t="s">
        <v>1039</v>
      </c>
      <c r="C158" s="100" t="s">
        <v>413</v>
      </c>
      <c r="D158" s="105" t="s">
        <v>183</v>
      </c>
      <c r="E158" s="99" t="s">
        <v>65</v>
      </c>
      <c r="F158" s="99" t="s">
        <v>71</v>
      </c>
      <c r="G158" s="102">
        <v>1</v>
      </c>
    </row>
    <row r="159" spans="1:7" s="40" customFormat="1" ht="57">
      <c r="A159" s="105" t="s">
        <v>250</v>
      </c>
      <c r="B159" s="99" t="s">
        <v>1039</v>
      </c>
      <c r="C159" s="100" t="s">
        <v>438</v>
      </c>
      <c r="D159" s="105" t="s">
        <v>251</v>
      </c>
      <c r="E159" s="99" t="s">
        <v>65</v>
      </c>
      <c r="F159" s="99" t="s">
        <v>71</v>
      </c>
      <c r="G159" s="102">
        <v>1</v>
      </c>
    </row>
    <row r="160" spans="1:7" s="40" customFormat="1" ht="38">
      <c r="A160" s="105" t="s">
        <v>277</v>
      </c>
      <c r="B160" s="99" t="s">
        <v>1040</v>
      </c>
      <c r="C160" s="100" t="s">
        <v>489</v>
      </c>
      <c r="D160" s="105" t="s">
        <v>852</v>
      </c>
      <c r="E160" s="99" t="s">
        <v>65</v>
      </c>
      <c r="F160" s="99" t="s">
        <v>71</v>
      </c>
      <c r="G160" s="102">
        <v>0.2</v>
      </c>
    </row>
    <row r="161" spans="1:7" s="40" customFormat="1" ht="38">
      <c r="A161" s="105" t="s">
        <v>279</v>
      </c>
      <c r="B161" s="99" t="s">
        <v>1040</v>
      </c>
      <c r="C161" s="100" t="s">
        <v>490</v>
      </c>
      <c r="D161" s="105" t="s">
        <v>853</v>
      </c>
      <c r="E161" s="99" t="s">
        <v>65</v>
      </c>
      <c r="F161" s="99" t="s">
        <v>71</v>
      </c>
      <c r="G161" s="102">
        <v>0.5</v>
      </c>
    </row>
    <row r="162" spans="1:7" s="40" customFormat="1" ht="38">
      <c r="A162" s="105" t="s">
        <v>281</v>
      </c>
      <c r="B162" s="99" t="s">
        <v>1040</v>
      </c>
      <c r="C162" s="100" t="s">
        <v>419</v>
      </c>
      <c r="D162" s="105" t="s">
        <v>282</v>
      </c>
      <c r="E162" s="99" t="s">
        <v>65</v>
      </c>
      <c r="F162" s="99" t="s">
        <v>71</v>
      </c>
      <c r="G162" s="102">
        <v>1</v>
      </c>
    </row>
    <row r="163" spans="1:7" s="40" customFormat="1" ht="38">
      <c r="A163" s="105" t="s">
        <v>348</v>
      </c>
      <c r="B163" s="99" t="s">
        <v>1040</v>
      </c>
      <c r="C163" s="100" t="s">
        <v>491</v>
      </c>
      <c r="D163" s="105" t="s">
        <v>349</v>
      </c>
      <c r="E163" s="99" t="s">
        <v>65</v>
      </c>
      <c r="F163" s="99" t="s">
        <v>71</v>
      </c>
      <c r="G163" s="102">
        <v>1</v>
      </c>
    </row>
    <row r="164" spans="1:7" s="40" customFormat="1" ht="38">
      <c r="A164" s="105" t="s">
        <v>350</v>
      </c>
      <c r="B164" s="99" t="s">
        <v>1040</v>
      </c>
      <c r="C164" s="100" t="s">
        <v>492</v>
      </c>
      <c r="D164" s="105" t="s">
        <v>345</v>
      </c>
      <c r="E164" s="99" t="s">
        <v>65</v>
      </c>
      <c r="F164" s="99" t="s">
        <v>71</v>
      </c>
      <c r="G164" s="102">
        <v>1</v>
      </c>
    </row>
    <row r="165" spans="1:7" s="40" customFormat="1" ht="38">
      <c r="A165" s="105" t="s">
        <v>283</v>
      </c>
      <c r="B165" s="99" t="s">
        <v>1040</v>
      </c>
      <c r="C165" s="100" t="s">
        <v>420</v>
      </c>
      <c r="D165" s="105" t="s">
        <v>156</v>
      </c>
      <c r="E165" s="99" t="s">
        <v>65</v>
      </c>
      <c r="F165" s="99" t="s">
        <v>71</v>
      </c>
      <c r="G165" s="102">
        <v>1</v>
      </c>
    </row>
    <row r="166" spans="1:7" s="40" customFormat="1" ht="38">
      <c r="A166" s="105" t="s">
        <v>493</v>
      </c>
      <c r="B166" s="99" t="s">
        <v>1040</v>
      </c>
      <c r="C166" s="100" t="s">
        <v>495</v>
      </c>
      <c r="D166" s="105" t="s">
        <v>494</v>
      </c>
      <c r="E166" s="99" t="s">
        <v>65</v>
      </c>
      <c r="F166" s="99" t="s">
        <v>71</v>
      </c>
      <c r="G166" s="102">
        <v>1</v>
      </c>
    </row>
    <row r="167" spans="1:7" s="40" customFormat="1" ht="38">
      <c r="A167" s="105" t="s">
        <v>284</v>
      </c>
      <c r="B167" s="99" t="s">
        <v>1040</v>
      </c>
      <c r="C167" s="100" t="s">
        <v>495</v>
      </c>
      <c r="D167" s="105" t="s">
        <v>641</v>
      </c>
      <c r="E167" s="99" t="s">
        <v>576</v>
      </c>
      <c r="F167" s="99" t="s">
        <v>71</v>
      </c>
      <c r="G167" s="102">
        <v>1</v>
      </c>
    </row>
    <row r="168" spans="1:7" s="40" customFormat="1" ht="38">
      <c r="A168" s="105" t="s">
        <v>287</v>
      </c>
      <c r="B168" s="99" t="s">
        <v>1040</v>
      </c>
      <c r="C168" s="100" t="s">
        <v>602</v>
      </c>
      <c r="D168" s="105" t="s">
        <v>615</v>
      </c>
      <c r="E168" s="99" t="s">
        <v>576</v>
      </c>
      <c r="F168" s="99" t="s">
        <v>71</v>
      </c>
      <c r="G168" s="102">
        <v>0.01</v>
      </c>
    </row>
    <row r="169" spans="1:7" s="40" customFormat="1" ht="38">
      <c r="A169" s="105" t="s">
        <v>496</v>
      </c>
      <c r="B169" s="99" t="s">
        <v>1040</v>
      </c>
      <c r="C169" s="100" t="s">
        <v>498</v>
      </c>
      <c r="D169" s="105" t="s">
        <v>285</v>
      </c>
      <c r="E169" s="99" t="s">
        <v>65</v>
      </c>
      <c r="F169" s="99" t="s">
        <v>286</v>
      </c>
      <c r="G169" s="102">
        <v>1</v>
      </c>
    </row>
    <row r="170" spans="1:7" s="40" customFormat="1" ht="38">
      <c r="A170" s="105" t="s">
        <v>497</v>
      </c>
      <c r="B170" s="99" t="s">
        <v>1040</v>
      </c>
      <c r="C170" s="100" t="s">
        <v>498</v>
      </c>
      <c r="D170" s="105" t="s">
        <v>288</v>
      </c>
      <c r="E170" s="99" t="s">
        <v>65</v>
      </c>
      <c r="F170" s="99" t="s">
        <v>73</v>
      </c>
      <c r="G170" s="102">
        <v>1</v>
      </c>
    </row>
    <row r="171" spans="1:7" s="40" customFormat="1" ht="57">
      <c r="A171" s="105" t="s">
        <v>289</v>
      </c>
      <c r="B171" s="99" t="s">
        <v>1040</v>
      </c>
      <c r="C171" s="100" t="s">
        <v>422</v>
      </c>
      <c r="D171" s="105" t="s">
        <v>291</v>
      </c>
      <c r="E171" s="99" t="s">
        <v>65</v>
      </c>
      <c r="F171" s="99" t="s">
        <v>71</v>
      </c>
      <c r="G171" s="102">
        <v>1</v>
      </c>
    </row>
    <row r="172" spans="1:7" s="40" customFormat="1" ht="76">
      <c r="A172" s="105" t="s">
        <v>290</v>
      </c>
      <c r="B172" s="99" t="s">
        <v>1040</v>
      </c>
      <c r="C172" s="100" t="s">
        <v>616</v>
      </c>
      <c r="D172" s="105" t="s">
        <v>212</v>
      </c>
      <c r="E172" s="99" t="s">
        <v>576</v>
      </c>
      <c r="F172" s="99" t="s">
        <v>71</v>
      </c>
      <c r="G172" s="102">
        <v>1</v>
      </c>
    </row>
    <row r="173" spans="1:7" s="40" customFormat="1" ht="38">
      <c r="A173" s="105" t="s">
        <v>640</v>
      </c>
      <c r="B173" s="99" t="s">
        <v>1040</v>
      </c>
      <c r="C173" s="100" t="s">
        <v>642</v>
      </c>
      <c r="D173" s="105" t="s">
        <v>643</v>
      </c>
      <c r="E173" s="99" t="s">
        <v>576</v>
      </c>
      <c r="F173" s="99" t="s">
        <v>71</v>
      </c>
      <c r="G173" s="102">
        <v>0.02</v>
      </c>
    </row>
    <row r="174" spans="1:7" s="40" customFormat="1" ht="20">
      <c r="A174" s="105" t="s">
        <v>499</v>
      </c>
      <c r="B174" s="99" t="s">
        <v>1040</v>
      </c>
      <c r="C174" s="100" t="s">
        <v>500</v>
      </c>
      <c r="D174" s="105" t="s">
        <v>162</v>
      </c>
      <c r="E174" s="99" t="s">
        <v>65</v>
      </c>
      <c r="F174" s="99" t="s">
        <v>71</v>
      </c>
      <c r="G174" s="102">
        <v>1</v>
      </c>
    </row>
    <row r="175" spans="1:7" s="40" customFormat="1" ht="20">
      <c r="A175" s="105" t="s">
        <v>292</v>
      </c>
      <c r="B175" s="99" t="s">
        <v>1040</v>
      </c>
      <c r="C175" s="100" t="s">
        <v>500</v>
      </c>
      <c r="D175" s="105" t="s">
        <v>644</v>
      </c>
      <c r="E175" s="99" t="s">
        <v>576</v>
      </c>
      <c r="F175" s="99" t="s">
        <v>71</v>
      </c>
      <c r="G175" s="102">
        <v>1</v>
      </c>
    </row>
    <row r="176" spans="1:7" s="40" customFormat="1" ht="38">
      <c r="A176" s="105" t="s">
        <v>501</v>
      </c>
      <c r="B176" s="99" t="s">
        <v>1040</v>
      </c>
      <c r="C176" s="100" t="s">
        <v>424</v>
      </c>
      <c r="D176" s="105" t="s">
        <v>854</v>
      </c>
      <c r="E176" s="99" t="s">
        <v>65</v>
      </c>
      <c r="F176" s="99" t="s">
        <v>71</v>
      </c>
      <c r="G176" s="102">
        <v>0</v>
      </c>
    </row>
    <row r="177" spans="1:7" s="40" customFormat="1" ht="57">
      <c r="A177" s="105" t="s">
        <v>293</v>
      </c>
      <c r="B177" s="99" t="s">
        <v>1040</v>
      </c>
      <c r="C177" s="100" t="s">
        <v>376</v>
      </c>
      <c r="D177" s="105" t="s">
        <v>294</v>
      </c>
      <c r="E177" s="99" t="s">
        <v>65</v>
      </c>
      <c r="F177" s="99" t="s">
        <v>71</v>
      </c>
      <c r="G177" s="102">
        <v>1</v>
      </c>
    </row>
    <row r="178" spans="1:7" s="40" customFormat="1" ht="38">
      <c r="A178" s="105" t="s">
        <v>261</v>
      </c>
      <c r="B178" s="99" t="s">
        <v>1041</v>
      </c>
      <c r="C178" s="100" t="s">
        <v>507</v>
      </c>
      <c r="D178" s="105" t="s">
        <v>262</v>
      </c>
      <c r="E178" s="99" t="s">
        <v>65</v>
      </c>
      <c r="F178" s="99" t="s">
        <v>71</v>
      </c>
      <c r="G178" s="102">
        <v>1</v>
      </c>
    </row>
    <row r="179" spans="1:7" s="40" customFormat="1" ht="38">
      <c r="A179" s="105" t="s">
        <v>263</v>
      </c>
      <c r="B179" s="99" t="s">
        <v>1041</v>
      </c>
      <c r="C179" s="100" t="s">
        <v>508</v>
      </c>
      <c r="D179" s="105" t="s">
        <v>264</v>
      </c>
      <c r="E179" s="99" t="s">
        <v>65</v>
      </c>
      <c r="F179" s="99" t="s">
        <v>71</v>
      </c>
      <c r="G179" s="102">
        <v>1</v>
      </c>
    </row>
    <row r="180" spans="1:7" s="40" customFormat="1" ht="38">
      <c r="A180" s="105" t="s">
        <v>631</v>
      </c>
      <c r="B180" s="99" t="s">
        <v>1041</v>
      </c>
      <c r="C180" s="100" t="s">
        <v>634</v>
      </c>
      <c r="D180" s="105" t="s">
        <v>635</v>
      </c>
      <c r="E180" s="99" t="s">
        <v>576</v>
      </c>
      <c r="F180" s="99" t="s">
        <v>71</v>
      </c>
      <c r="G180" s="102">
        <v>1</v>
      </c>
    </row>
    <row r="181" spans="1:7" s="40" customFormat="1" ht="38">
      <c r="A181" s="105" t="s">
        <v>632</v>
      </c>
      <c r="B181" s="99" t="s">
        <v>1041</v>
      </c>
      <c r="C181" s="100" t="s">
        <v>636</v>
      </c>
      <c r="D181" s="105" t="s">
        <v>637</v>
      </c>
      <c r="E181" s="99" t="s">
        <v>576</v>
      </c>
      <c r="F181" s="99" t="s">
        <v>71</v>
      </c>
      <c r="G181" s="102">
        <v>1</v>
      </c>
    </row>
    <row r="182" spans="1:7" s="40" customFormat="1" ht="38">
      <c r="A182" s="105" t="s">
        <v>265</v>
      </c>
      <c r="B182" s="99" t="s">
        <v>1041</v>
      </c>
      <c r="C182" s="100" t="s">
        <v>509</v>
      </c>
      <c r="D182" s="105" t="s">
        <v>266</v>
      </c>
      <c r="E182" s="99" t="s">
        <v>65</v>
      </c>
      <c r="F182" s="99" t="s">
        <v>71</v>
      </c>
      <c r="G182" s="102">
        <v>1</v>
      </c>
    </row>
    <row r="183" spans="1:7" s="40" customFormat="1" ht="38">
      <c r="A183" s="105" t="s">
        <v>267</v>
      </c>
      <c r="B183" s="99" t="s">
        <v>1041</v>
      </c>
      <c r="C183" s="100" t="s">
        <v>510</v>
      </c>
      <c r="D183" s="105" t="s">
        <v>268</v>
      </c>
      <c r="E183" s="99" t="s">
        <v>65</v>
      </c>
      <c r="F183" s="99" t="s">
        <v>78</v>
      </c>
      <c r="G183" s="102">
        <v>1</v>
      </c>
    </row>
    <row r="184" spans="1:7" s="40" customFormat="1" ht="38">
      <c r="A184" s="105" t="s">
        <v>269</v>
      </c>
      <c r="B184" s="99" t="s">
        <v>1041</v>
      </c>
      <c r="C184" s="100" t="s">
        <v>511</v>
      </c>
      <c r="D184" s="105" t="s">
        <v>270</v>
      </c>
      <c r="E184" s="99" t="s">
        <v>65</v>
      </c>
      <c r="F184" s="99" t="s">
        <v>78</v>
      </c>
      <c r="G184" s="102">
        <v>1</v>
      </c>
    </row>
    <row r="185" spans="1:7" s="40" customFormat="1" ht="38">
      <c r="A185" s="105" t="s">
        <v>633</v>
      </c>
      <c r="B185" s="99" t="s">
        <v>1041</v>
      </c>
      <c r="C185" s="100" t="s">
        <v>638</v>
      </c>
      <c r="D185" s="105" t="s">
        <v>639</v>
      </c>
      <c r="E185" s="99" t="s">
        <v>576</v>
      </c>
      <c r="F185" s="99" t="s">
        <v>78</v>
      </c>
      <c r="G185" s="102">
        <v>1</v>
      </c>
    </row>
    <row r="186" spans="1:7" s="40" customFormat="1" ht="38">
      <c r="A186" s="105" t="s">
        <v>271</v>
      </c>
      <c r="B186" s="99" t="s">
        <v>1041</v>
      </c>
      <c r="C186" s="100" t="s">
        <v>512</v>
      </c>
      <c r="D186" s="105" t="s">
        <v>272</v>
      </c>
      <c r="E186" s="99" t="s">
        <v>65</v>
      </c>
      <c r="F186" s="99" t="s">
        <v>78</v>
      </c>
      <c r="G186" s="102">
        <v>1</v>
      </c>
    </row>
    <row r="187" spans="1:7" s="40" customFormat="1" ht="38">
      <c r="A187" s="105" t="s">
        <v>273</v>
      </c>
      <c r="B187" s="99" t="s">
        <v>1041</v>
      </c>
      <c r="C187" s="100" t="s">
        <v>512</v>
      </c>
      <c r="D187" s="105" t="s">
        <v>274</v>
      </c>
      <c r="E187" s="99" t="s">
        <v>65</v>
      </c>
      <c r="F187" s="99" t="s">
        <v>71</v>
      </c>
      <c r="G187" s="102">
        <v>1</v>
      </c>
    </row>
    <row r="188" spans="1:7" s="40" customFormat="1" ht="57">
      <c r="A188" s="105" t="s">
        <v>275</v>
      </c>
      <c r="B188" s="99" t="s">
        <v>1041</v>
      </c>
      <c r="C188" s="100" t="s">
        <v>434</v>
      </c>
      <c r="D188" s="105" t="s">
        <v>276</v>
      </c>
      <c r="E188" s="99" t="s">
        <v>65</v>
      </c>
      <c r="F188" s="99" t="s">
        <v>71</v>
      </c>
      <c r="G188" s="102">
        <v>1</v>
      </c>
    </row>
    <row r="189" spans="1:7" s="40" customFormat="1" ht="20">
      <c r="A189" s="105" t="s">
        <v>295</v>
      </c>
      <c r="B189" s="99" t="s">
        <v>1042</v>
      </c>
      <c r="C189" s="100" t="s">
        <v>513</v>
      </c>
      <c r="D189" s="105" t="s">
        <v>296</v>
      </c>
      <c r="E189" s="99" t="s">
        <v>65</v>
      </c>
      <c r="F189" s="99" t="s">
        <v>73</v>
      </c>
      <c r="G189" s="102">
        <v>1</v>
      </c>
    </row>
    <row r="190" spans="1:7" s="40" customFormat="1" ht="20">
      <c r="A190" s="105" t="s">
        <v>620</v>
      </c>
      <c r="B190" s="99" t="s">
        <v>1042</v>
      </c>
      <c r="C190" s="100" t="s">
        <v>623</v>
      </c>
      <c r="D190" s="105" t="s">
        <v>624</v>
      </c>
      <c r="E190" s="99" t="s">
        <v>576</v>
      </c>
      <c r="F190" s="99" t="s">
        <v>73</v>
      </c>
      <c r="G190" s="102">
        <v>1</v>
      </c>
    </row>
    <row r="191" spans="1:7" s="40" customFormat="1" ht="38">
      <c r="A191" s="105" t="s">
        <v>621</v>
      </c>
      <c r="B191" s="99" t="s">
        <v>1042</v>
      </c>
      <c r="C191" s="100" t="s">
        <v>625</v>
      </c>
      <c r="D191" s="105" t="s">
        <v>626</v>
      </c>
      <c r="E191" s="99" t="s">
        <v>576</v>
      </c>
      <c r="F191" s="99" t="s">
        <v>73</v>
      </c>
      <c r="G191" s="102">
        <v>1</v>
      </c>
    </row>
    <row r="192" spans="1:7" s="40" customFormat="1" ht="38">
      <c r="A192" s="105" t="s">
        <v>514</v>
      </c>
      <c r="B192" s="99" t="s">
        <v>1042</v>
      </c>
      <c r="C192" s="100" t="s">
        <v>627</v>
      </c>
      <c r="D192" s="105" t="s">
        <v>628</v>
      </c>
      <c r="E192" s="99" t="s">
        <v>576</v>
      </c>
      <c r="F192" s="99" t="s">
        <v>73</v>
      </c>
      <c r="G192" s="102">
        <v>1</v>
      </c>
    </row>
    <row r="193" spans="1:7" s="40" customFormat="1" ht="38">
      <c r="A193" s="105" t="s">
        <v>297</v>
      </c>
      <c r="B193" s="99" t="s">
        <v>1042</v>
      </c>
      <c r="C193" s="100" t="s">
        <v>515</v>
      </c>
      <c r="D193" s="105" t="s">
        <v>298</v>
      </c>
      <c r="E193" s="99" t="s">
        <v>65</v>
      </c>
      <c r="F193" s="99" t="s">
        <v>71</v>
      </c>
      <c r="G193" s="102">
        <v>1</v>
      </c>
    </row>
    <row r="194" spans="1:7" s="40" customFormat="1" ht="38">
      <c r="A194" s="105" t="s">
        <v>622</v>
      </c>
      <c r="B194" s="99" t="s">
        <v>1042</v>
      </c>
      <c r="C194" s="100" t="s">
        <v>629</v>
      </c>
      <c r="D194" s="105" t="s">
        <v>630</v>
      </c>
      <c r="E194" s="99" t="s">
        <v>576</v>
      </c>
      <c r="F194" s="99" t="s">
        <v>71</v>
      </c>
      <c r="G194" s="102">
        <v>1</v>
      </c>
    </row>
    <row r="195" spans="1:7" s="40" customFormat="1" ht="57">
      <c r="A195" s="105" t="s">
        <v>299</v>
      </c>
      <c r="B195" s="99" t="s">
        <v>1042</v>
      </c>
      <c r="C195" s="100" t="s">
        <v>458</v>
      </c>
      <c r="D195" s="105" t="s">
        <v>300</v>
      </c>
      <c r="E195" s="99" t="s">
        <v>65</v>
      </c>
      <c r="F195" s="99" t="s">
        <v>71</v>
      </c>
      <c r="G195" s="102">
        <v>1</v>
      </c>
    </row>
    <row r="196" spans="1:7" s="40" customFormat="1" ht="38">
      <c r="A196" s="105" t="s">
        <v>307</v>
      </c>
      <c r="B196" s="99" t="s">
        <v>1043</v>
      </c>
      <c r="C196" s="100" t="s">
        <v>419</v>
      </c>
      <c r="D196" s="105" t="s">
        <v>308</v>
      </c>
      <c r="E196" s="99" t="s">
        <v>65</v>
      </c>
      <c r="F196" s="99" t="s">
        <v>71</v>
      </c>
      <c r="G196" s="102">
        <v>1</v>
      </c>
    </row>
    <row r="197" spans="1:7" s="40" customFormat="1" ht="38">
      <c r="A197" s="105" t="s">
        <v>342</v>
      </c>
      <c r="B197" s="99" t="s">
        <v>1043</v>
      </c>
      <c r="C197" s="100" t="s">
        <v>491</v>
      </c>
      <c r="D197" s="105" t="s">
        <v>343</v>
      </c>
      <c r="E197" s="99" t="s">
        <v>65</v>
      </c>
      <c r="F197" s="99" t="s">
        <v>71</v>
      </c>
      <c r="G197" s="102">
        <v>1</v>
      </c>
    </row>
    <row r="198" spans="1:7" s="40" customFormat="1" ht="38">
      <c r="A198" s="105" t="s">
        <v>344</v>
      </c>
      <c r="B198" s="99" t="s">
        <v>1043</v>
      </c>
      <c r="C198" s="100" t="s">
        <v>492</v>
      </c>
      <c r="D198" s="105" t="s">
        <v>345</v>
      </c>
      <c r="E198" s="99" t="s">
        <v>65</v>
      </c>
      <c r="F198" s="99" t="s">
        <v>71</v>
      </c>
      <c r="G198" s="102">
        <v>1</v>
      </c>
    </row>
    <row r="199" spans="1:7" s="40" customFormat="1" ht="38">
      <c r="A199" s="105" t="s">
        <v>309</v>
      </c>
      <c r="B199" s="99" t="s">
        <v>1043</v>
      </c>
      <c r="C199" s="100" t="s">
        <v>532</v>
      </c>
      <c r="D199" s="105" t="s">
        <v>852</v>
      </c>
      <c r="E199" s="99" t="s">
        <v>65</v>
      </c>
      <c r="F199" s="99" t="s">
        <v>71</v>
      </c>
      <c r="G199" s="102">
        <v>0.3</v>
      </c>
    </row>
    <row r="200" spans="1:7" s="40" customFormat="1" ht="38">
      <c r="A200" s="105" t="s">
        <v>310</v>
      </c>
      <c r="B200" s="99" t="s">
        <v>1043</v>
      </c>
      <c r="C200" s="100" t="s">
        <v>490</v>
      </c>
      <c r="D200" s="105" t="s">
        <v>853</v>
      </c>
      <c r="E200" s="99" t="s">
        <v>65</v>
      </c>
      <c r="F200" s="99" t="s">
        <v>71</v>
      </c>
      <c r="G200" s="102">
        <v>0.7</v>
      </c>
    </row>
    <row r="201" spans="1:7" s="40" customFormat="1" ht="38">
      <c r="A201" s="105" t="s">
        <v>311</v>
      </c>
      <c r="B201" s="99" t="s">
        <v>1043</v>
      </c>
      <c r="C201" s="100" t="s">
        <v>420</v>
      </c>
      <c r="D201" s="105" t="s">
        <v>156</v>
      </c>
      <c r="E201" s="99" t="s">
        <v>65</v>
      </c>
      <c r="F201" s="99" t="s">
        <v>71</v>
      </c>
      <c r="G201" s="102">
        <v>1</v>
      </c>
    </row>
    <row r="202" spans="1:7" s="40" customFormat="1" ht="38">
      <c r="A202" s="105" t="s">
        <v>312</v>
      </c>
      <c r="B202" s="99" t="s">
        <v>1043</v>
      </c>
      <c r="C202" s="100" t="s">
        <v>498</v>
      </c>
      <c r="D202" s="105" t="s">
        <v>285</v>
      </c>
      <c r="E202" s="99" t="s">
        <v>65</v>
      </c>
      <c r="F202" s="99" t="s">
        <v>71</v>
      </c>
      <c r="G202" s="102">
        <v>1</v>
      </c>
    </row>
    <row r="203" spans="1:7" s="40" customFormat="1" ht="38">
      <c r="A203" s="105" t="s">
        <v>313</v>
      </c>
      <c r="B203" s="99" t="s">
        <v>1043</v>
      </c>
      <c r="C203" s="100" t="s">
        <v>498</v>
      </c>
      <c r="D203" s="105" t="s">
        <v>288</v>
      </c>
      <c r="E203" s="99" t="s">
        <v>65</v>
      </c>
      <c r="F203" s="99" t="s">
        <v>73</v>
      </c>
      <c r="G203" s="102">
        <v>1</v>
      </c>
    </row>
    <row r="204" spans="1:7" s="40" customFormat="1" ht="38">
      <c r="A204" s="105" t="s">
        <v>608</v>
      </c>
      <c r="B204" s="99" t="s">
        <v>1043</v>
      </c>
      <c r="C204" s="100" t="s">
        <v>612</v>
      </c>
      <c r="D204" s="105" t="s">
        <v>494</v>
      </c>
      <c r="E204" s="99" t="s">
        <v>576</v>
      </c>
      <c r="F204" s="99" t="s">
        <v>286</v>
      </c>
      <c r="G204" s="102">
        <v>1</v>
      </c>
    </row>
    <row r="205" spans="1:7" s="40" customFormat="1" ht="38">
      <c r="A205" s="105" t="s">
        <v>609</v>
      </c>
      <c r="B205" s="99" t="s">
        <v>1043</v>
      </c>
      <c r="C205" s="100" t="s">
        <v>613</v>
      </c>
      <c r="D205" s="105" t="s">
        <v>614</v>
      </c>
      <c r="E205" s="99" t="s">
        <v>576</v>
      </c>
      <c r="F205" s="99" t="s">
        <v>286</v>
      </c>
      <c r="G205" s="102">
        <v>1</v>
      </c>
    </row>
    <row r="206" spans="1:7" s="40" customFormat="1" ht="38">
      <c r="A206" s="105" t="s">
        <v>306</v>
      </c>
      <c r="B206" s="99" t="s">
        <v>1043</v>
      </c>
      <c r="C206" s="100" t="s">
        <v>602</v>
      </c>
      <c r="D206" s="105" t="s">
        <v>615</v>
      </c>
      <c r="E206" s="99" t="s">
        <v>576</v>
      </c>
      <c r="F206" s="99" t="s">
        <v>286</v>
      </c>
      <c r="G206" s="102">
        <v>0.01</v>
      </c>
    </row>
    <row r="207" spans="1:7" s="40" customFormat="1" ht="38">
      <c r="A207" s="105" t="s">
        <v>610</v>
      </c>
      <c r="B207" s="99" t="s">
        <v>1043</v>
      </c>
      <c r="C207" s="100" t="s">
        <v>534</v>
      </c>
      <c r="D207" s="105" t="s">
        <v>535</v>
      </c>
      <c r="E207" s="99" t="s">
        <v>65</v>
      </c>
      <c r="F207" s="99" t="s">
        <v>71</v>
      </c>
      <c r="G207" s="102">
        <v>1.2</v>
      </c>
    </row>
    <row r="208" spans="1:7" s="40" customFormat="1" ht="57">
      <c r="A208" s="105" t="s">
        <v>533</v>
      </c>
      <c r="B208" s="99" t="s">
        <v>1043</v>
      </c>
      <c r="C208" s="100" t="s">
        <v>422</v>
      </c>
      <c r="D208" s="105" t="s">
        <v>291</v>
      </c>
      <c r="E208" s="99" t="s">
        <v>65</v>
      </c>
      <c r="F208" s="99" t="s">
        <v>71</v>
      </c>
      <c r="G208" s="102">
        <v>1</v>
      </c>
    </row>
    <row r="209" spans="1:7" s="40" customFormat="1" ht="76">
      <c r="A209" s="105" t="s">
        <v>536</v>
      </c>
      <c r="B209" s="99" t="s">
        <v>1043</v>
      </c>
      <c r="C209" s="100" t="s">
        <v>616</v>
      </c>
      <c r="D209" s="105" t="s">
        <v>212</v>
      </c>
      <c r="E209" s="99" t="s">
        <v>576</v>
      </c>
      <c r="F209" s="99" t="s">
        <v>71</v>
      </c>
      <c r="G209" s="102">
        <v>1</v>
      </c>
    </row>
    <row r="210" spans="1:7" s="40" customFormat="1" ht="57">
      <c r="A210" s="105" t="s">
        <v>314</v>
      </c>
      <c r="B210" s="99" t="s">
        <v>1043</v>
      </c>
      <c r="C210" s="100" t="s">
        <v>617</v>
      </c>
      <c r="D210" s="105" t="s">
        <v>618</v>
      </c>
      <c r="E210" s="99" t="s">
        <v>576</v>
      </c>
      <c r="F210" s="99" t="s">
        <v>71</v>
      </c>
      <c r="G210" s="102">
        <v>0.05</v>
      </c>
    </row>
    <row r="211" spans="1:7" s="40" customFormat="1" ht="20">
      <c r="A211" s="105" t="s">
        <v>315</v>
      </c>
      <c r="B211" s="99" t="s">
        <v>1043</v>
      </c>
      <c r="C211" s="100" t="s">
        <v>537</v>
      </c>
      <c r="D211" s="105" t="s">
        <v>619</v>
      </c>
      <c r="E211" s="99" t="s">
        <v>576</v>
      </c>
      <c r="F211" s="99" t="s">
        <v>71</v>
      </c>
      <c r="G211" s="102">
        <v>1</v>
      </c>
    </row>
    <row r="212" spans="1:7" s="40" customFormat="1" ht="20">
      <c r="A212" s="105" t="s">
        <v>611</v>
      </c>
      <c r="B212" s="99" t="s">
        <v>1043</v>
      </c>
      <c r="C212" s="100" t="s">
        <v>537</v>
      </c>
      <c r="D212" s="105" t="s">
        <v>162</v>
      </c>
      <c r="E212" s="99" t="s">
        <v>316</v>
      </c>
      <c r="F212" s="99" t="s">
        <v>71</v>
      </c>
      <c r="G212" s="102">
        <v>1</v>
      </c>
    </row>
    <row r="213" spans="1:7" s="40" customFormat="1" ht="38">
      <c r="A213" s="105" t="s">
        <v>538</v>
      </c>
      <c r="B213" s="99" t="s">
        <v>1043</v>
      </c>
      <c r="C213" s="100" t="s">
        <v>424</v>
      </c>
      <c r="D213" s="105" t="s">
        <v>839</v>
      </c>
      <c r="E213" s="99" t="s">
        <v>65</v>
      </c>
      <c r="F213" s="99" t="s">
        <v>71</v>
      </c>
      <c r="G213" s="102">
        <v>0</v>
      </c>
    </row>
    <row r="214" spans="1:7" s="40" customFormat="1" ht="57">
      <c r="A214" s="105" t="s">
        <v>539</v>
      </c>
      <c r="B214" s="99" t="s">
        <v>1043</v>
      </c>
      <c r="C214" s="100" t="s">
        <v>414</v>
      </c>
      <c r="D214" s="105" t="s">
        <v>317</v>
      </c>
      <c r="E214" s="99" t="s">
        <v>65</v>
      </c>
      <c r="F214" s="99" t="s">
        <v>71</v>
      </c>
      <c r="G214" s="102">
        <v>1</v>
      </c>
    </row>
    <row r="215" spans="1:7" s="40" customFormat="1" ht="38">
      <c r="A215" s="105" t="s">
        <v>321</v>
      </c>
      <c r="B215" s="99" t="s">
        <v>1044</v>
      </c>
      <c r="C215" s="100" t="s">
        <v>540</v>
      </c>
      <c r="D215" s="105" t="s">
        <v>322</v>
      </c>
      <c r="E215" s="99" t="s">
        <v>65</v>
      </c>
      <c r="F215" s="99" t="s">
        <v>71</v>
      </c>
      <c r="G215" s="102">
        <v>1</v>
      </c>
    </row>
    <row r="216" spans="1:7" s="40" customFormat="1" ht="38">
      <c r="A216" s="105" t="s">
        <v>593</v>
      </c>
      <c r="B216" s="99" t="s">
        <v>1044</v>
      </c>
      <c r="C216" s="100" t="s">
        <v>598</v>
      </c>
      <c r="D216" s="105" t="s">
        <v>599</v>
      </c>
      <c r="E216" s="99" t="s">
        <v>576</v>
      </c>
      <c r="F216" s="99" t="s">
        <v>71</v>
      </c>
      <c r="G216" s="102">
        <v>1</v>
      </c>
    </row>
    <row r="217" spans="1:7" s="40" customFormat="1" ht="38">
      <c r="A217" s="105" t="s">
        <v>323</v>
      </c>
      <c r="B217" s="99" t="s">
        <v>1044</v>
      </c>
      <c r="C217" s="100" t="s">
        <v>541</v>
      </c>
      <c r="D217" s="105" t="s">
        <v>324</v>
      </c>
      <c r="E217" s="99" t="s">
        <v>65</v>
      </c>
      <c r="F217" s="99" t="s">
        <v>71</v>
      </c>
      <c r="G217" s="102">
        <v>0</v>
      </c>
    </row>
    <row r="218" spans="1:7" s="40" customFormat="1" ht="38">
      <c r="A218" s="105" t="s">
        <v>594</v>
      </c>
      <c r="B218" s="99" t="s">
        <v>1044</v>
      </c>
      <c r="C218" s="100" t="s">
        <v>600</v>
      </c>
      <c r="D218" s="105" t="s">
        <v>601</v>
      </c>
      <c r="E218" s="99" t="s">
        <v>576</v>
      </c>
      <c r="F218" s="99" t="s">
        <v>71</v>
      </c>
      <c r="G218" s="102">
        <v>1</v>
      </c>
    </row>
    <row r="219" spans="1:7" s="40" customFormat="1" ht="38">
      <c r="A219" s="105" t="s">
        <v>595</v>
      </c>
      <c r="B219" s="99" t="s">
        <v>1044</v>
      </c>
      <c r="C219" s="100" t="s">
        <v>602</v>
      </c>
      <c r="D219" s="105" t="s">
        <v>603</v>
      </c>
      <c r="E219" s="99" t="s">
        <v>576</v>
      </c>
      <c r="F219" s="99" t="s">
        <v>71</v>
      </c>
      <c r="G219" s="102">
        <v>0.01</v>
      </c>
    </row>
    <row r="220" spans="1:7" s="40" customFormat="1" ht="38">
      <c r="A220" s="105" t="s">
        <v>325</v>
      </c>
      <c r="B220" s="99" t="s">
        <v>1044</v>
      </c>
      <c r="C220" s="100" t="s">
        <v>542</v>
      </c>
      <c r="D220" s="105" t="s">
        <v>326</v>
      </c>
      <c r="E220" s="99" t="s">
        <v>65</v>
      </c>
      <c r="F220" s="99" t="s">
        <v>71</v>
      </c>
      <c r="G220" s="102">
        <v>1</v>
      </c>
    </row>
    <row r="221" spans="1:7" s="40" customFormat="1" ht="38">
      <c r="A221" s="105" t="s">
        <v>327</v>
      </c>
      <c r="B221" s="99" t="s">
        <v>1044</v>
      </c>
      <c r="C221" s="100" t="s">
        <v>543</v>
      </c>
      <c r="D221" s="105" t="s">
        <v>328</v>
      </c>
      <c r="E221" s="99" t="s">
        <v>65</v>
      </c>
      <c r="F221" s="99" t="s">
        <v>71</v>
      </c>
      <c r="G221" s="102">
        <v>0.95</v>
      </c>
    </row>
    <row r="222" spans="1:7" s="40" customFormat="1" ht="38">
      <c r="A222" s="105" t="s">
        <v>329</v>
      </c>
      <c r="B222" s="99" t="s">
        <v>1044</v>
      </c>
      <c r="C222" s="100" t="s">
        <v>544</v>
      </c>
      <c r="D222" s="105" t="s">
        <v>330</v>
      </c>
      <c r="E222" s="99" t="s">
        <v>65</v>
      </c>
      <c r="F222" s="99" t="s">
        <v>71</v>
      </c>
      <c r="G222" s="102">
        <v>0.5</v>
      </c>
    </row>
    <row r="223" spans="1:7" s="40" customFormat="1" ht="38">
      <c r="A223" s="105" t="s">
        <v>596</v>
      </c>
      <c r="B223" s="99" t="s">
        <v>1044</v>
      </c>
      <c r="C223" s="100" t="s">
        <v>604</v>
      </c>
      <c r="D223" s="105" t="s">
        <v>605</v>
      </c>
      <c r="E223" s="99" t="s">
        <v>576</v>
      </c>
      <c r="F223" s="99" t="s">
        <v>71</v>
      </c>
      <c r="G223" s="102">
        <v>1</v>
      </c>
    </row>
    <row r="224" spans="1:7" s="40" customFormat="1" ht="38">
      <c r="A224" s="105" t="s">
        <v>597</v>
      </c>
      <c r="B224" s="99" t="s">
        <v>1044</v>
      </c>
      <c r="C224" s="100" t="s">
        <v>606</v>
      </c>
      <c r="D224" s="105" t="s">
        <v>607</v>
      </c>
      <c r="E224" s="99" t="s">
        <v>576</v>
      </c>
      <c r="F224" s="99" t="s">
        <v>71</v>
      </c>
      <c r="G224" s="102">
        <v>1</v>
      </c>
    </row>
    <row r="225" spans="1:7" s="40" customFormat="1" ht="38">
      <c r="A225" s="105" t="s">
        <v>331</v>
      </c>
      <c r="B225" s="99" t="s">
        <v>1044</v>
      </c>
      <c r="C225" s="100" t="s">
        <v>545</v>
      </c>
      <c r="D225" s="105" t="s">
        <v>332</v>
      </c>
      <c r="E225" s="99" t="s">
        <v>65</v>
      </c>
      <c r="F225" s="99" t="s">
        <v>71</v>
      </c>
      <c r="G225" s="102">
        <v>1</v>
      </c>
    </row>
    <row r="226" spans="1:7" s="40" customFormat="1" ht="38">
      <c r="A226" s="105" t="s">
        <v>333</v>
      </c>
      <c r="B226" s="99" t="s">
        <v>1044</v>
      </c>
      <c r="C226" s="100" t="s">
        <v>413</v>
      </c>
      <c r="D226" s="105" t="s">
        <v>183</v>
      </c>
      <c r="E226" s="99" t="s">
        <v>65</v>
      </c>
      <c r="F226" s="99" t="s">
        <v>73</v>
      </c>
      <c r="G226" s="102">
        <v>1</v>
      </c>
    </row>
    <row r="227" spans="1:7" s="40" customFormat="1" ht="57">
      <c r="A227" s="105" t="s">
        <v>334</v>
      </c>
      <c r="B227" s="99" t="s">
        <v>1044</v>
      </c>
      <c r="C227" s="100" t="s">
        <v>376</v>
      </c>
      <c r="D227" s="105" t="s">
        <v>335</v>
      </c>
      <c r="E227" s="99" t="s">
        <v>65</v>
      </c>
      <c r="F227" s="99" t="s">
        <v>71</v>
      </c>
      <c r="G227" s="102">
        <v>1</v>
      </c>
    </row>
    <row r="228" spans="1:7" s="40" customFormat="1" ht="38">
      <c r="A228" s="105" t="s">
        <v>546</v>
      </c>
      <c r="B228" s="99" t="s">
        <v>1045</v>
      </c>
      <c r="C228" s="100" t="s">
        <v>547</v>
      </c>
      <c r="D228" s="105" t="s">
        <v>548</v>
      </c>
      <c r="E228" s="99" t="s">
        <v>65</v>
      </c>
      <c r="F228" s="99" t="s">
        <v>71</v>
      </c>
      <c r="G228" s="102">
        <v>0.45</v>
      </c>
    </row>
    <row r="229" spans="1:7" s="40" customFormat="1" ht="38">
      <c r="A229" s="105" t="s">
        <v>549</v>
      </c>
      <c r="B229" s="99" t="s">
        <v>1045</v>
      </c>
      <c r="C229" s="100" t="s">
        <v>550</v>
      </c>
      <c r="D229" s="105" t="s">
        <v>551</v>
      </c>
      <c r="E229" s="99" t="s">
        <v>65</v>
      </c>
      <c r="F229" s="99" t="s">
        <v>71</v>
      </c>
      <c r="G229" s="102">
        <v>1</v>
      </c>
    </row>
    <row r="230" spans="1:7" s="40" customFormat="1" ht="38">
      <c r="A230" s="105" t="s">
        <v>552</v>
      </c>
      <c r="B230" s="99" t="s">
        <v>1045</v>
      </c>
      <c r="C230" s="100" t="s">
        <v>553</v>
      </c>
      <c r="D230" s="105" t="s">
        <v>554</v>
      </c>
      <c r="E230" s="99" t="s">
        <v>65</v>
      </c>
      <c r="F230" s="99" t="s">
        <v>71</v>
      </c>
      <c r="G230" s="102">
        <v>1</v>
      </c>
    </row>
    <row r="231" spans="1:7" s="40" customFormat="1" ht="38">
      <c r="A231" s="105" t="s">
        <v>590</v>
      </c>
      <c r="B231" s="99" t="s">
        <v>1045</v>
      </c>
      <c r="C231" s="100" t="s">
        <v>591</v>
      </c>
      <c r="D231" s="105" t="s">
        <v>592</v>
      </c>
      <c r="E231" s="99" t="s">
        <v>576</v>
      </c>
      <c r="F231" s="99" t="s">
        <v>71</v>
      </c>
      <c r="G231" s="102">
        <v>1</v>
      </c>
    </row>
    <row r="232" spans="1:7" s="40" customFormat="1" ht="38">
      <c r="A232" s="105" t="s">
        <v>555</v>
      </c>
      <c r="B232" s="99" t="s">
        <v>1045</v>
      </c>
      <c r="C232" s="100" t="s">
        <v>556</v>
      </c>
      <c r="D232" s="105" t="s">
        <v>557</v>
      </c>
      <c r="E232" s="99" t="s">
        <v>65</v>
      </c>
      <c r="F232" s="99" t="s">
        <v>71</v>
      </c>
      <c r="G232" s="102">
        <v>1</v>
      </c>
    </row>
    <row r="233" spans="1:7" s="40" customFormat="1" ht="38">
      <c r="A233" s="105" t="s">
        <v>558</v>
      </c>
      <c r="B233" s="99" t="s">
        <v>1045</v>
      </c>
      <c r="C233" s="100" t="s">
        <v>559</v>
      </c>
      <c r="D233" s="105" t="s">
        <v>560</v>
      </c>
      <c r="E233" s="99" t="s">
        <v>65</v>
      </c>
      <c r="F233" s="99" t="s">
        <v>71</v>
      </c>
      <c r="G233" s="102">
        <v>1</v>
      </c>
    </row>
    <row r="234" spans="1:7" s="40" customFormat="1" ht="57">
      <c r="A234" s="105" t="s">
        <v>561</v>
      </c>
      <c r="B234" s="99" t="s">
        <v>1045</v>
      </c>
      <c r="C234" s="100" t="s">
        <v>562</v>
      </c>
      <c r="D234" s="105" t="s">
        <v>563</v>
      </c>
      <c r="E234" s="99" t="s">
        <v>65</v>
      </c>
      <c r="F234" s="99" t="s">
        <v>71</v>
      </c>
      <c r="G234" s="102">
        <v>1</v>
      </c>
    </row>
    <row r="235" spans="1:7" s="40" customFormat="1" ht="95">
      <c r="A235" s="105" t="s">
        <v>565</v>
      </c>
      <c r="B235" s="99" t="s">
        <v>1046</v>
      </c>
      <c r="C235" s="100" t="s">
        <v>582</v>
      </c>
      <c r="D235" s="105" t="s">
        <v>855</v>
      </c>
      <c r="E235" s="99" t="s">
        <v>576</v>
      </c>
      <c r="F235" s="99" t="s">
        <v>71</v>
      </c>
      <c r="G235" s="102">
        <v>1</v>
      </c>
    </row>
    <row r="236" spans="1:7" s="40" customFormat="1" ht="95">
      <c r="A236" s="105" t="s">
        <v>566</v>
      </c>
      <c r="B236" s="99" t="s">
        <v>1046</v>
      </c>
      <c r="C236" s="100" t="s">
        <v>564</v>
      </c>
      <c r="D236" s="105" t="s">
        <v>339</v>
      </c>
      <c r="E236" s="99" t="s">
        <v>65</v>
      </c>
      <c r="F236" s="99" t="s">
        <v>71</v>
      </c>
      <c r="G236" s="102">
        <v>1</v>
      </c>
    </row>
    <row r="237" spans="1:7" s="40" customFormat="1" ht="95">
      <c r="A237" s="105" t="s">
        <v>567</v>
      </c>
      <c r="B237" s="99" t="s">
        <v>1046</v>
      </c>
      <c r="C237" s="100" t="s">
        <v>583</v>
      </c>
      <c r="D237" s="105" t="s">
        <v>575</v>
      </c>
      <c r="E237" s="99" t="s">
        <v>576</v>
      </c>
      <c r="F237" s="99" t="s">
        <v>71</v>
      </c>
      <c r="G237" s="102">
        <v>1</v>
      </c>
    </row>
    <row r="238" spans="1:7" s="40" customFormat="1" ht="95">
      <c r="A238" s="105" t="s">
        <v>568</v>
      </c>
      <c r="B238" s="99" t="s">
        <v>1046</v>
      </c>
      <c r="C238" s="100" t="s">
        <v>584</v>
      </c>
      <c r="D238" s="105" t="s">
        <v>577</v>
      </c>
      <c r="E238" s="99" t="s">
        <v>576</v>
      </c>
      <c r="F238" s="99" t="s">
        <v>71</v>
      </c>
      <c r="G238" s="102">
        <v>1</v>
      </c>
    </row>
    <row r="239" spans="1:7" s="40" customFormat="1" ht="95">
      <c r="A239" s="105" t="s">
        <v>569</v>
      </c>
      <c r="B239" s="99" t="s">
        <v>1046</v>
      </c>
      <c r="C239" s="100" t="s">
        <v>585</v>
      </c>
      <c r="D239" s="105" t="s">
        <v>578</v>
      </c>
      <c r="E239" s="99" t="s">
        <v>576</v>
      </c>
      <c r="F239" s="99" t="s">
        <v>71</v>
      </c>
      <c r="G239" s="102">
        <v>0.95</v>
      </c>
    </row>
    <row r="240" spans="1:7" s="40" customFormat="1" ht="95">
      <c r="A240" s="105" t="s">
        <v>570</v>
      </c>
      <c r="B240" s="99" t="s">
        <v>1046</v>
      </c>
      <c r="C240" s="100" t="s">
        <v>586</v>
      </c>
      <c r="D240" s="105" t="s">
        <v>579</v>
      </c>
      <c r="E240" s="99" t="s">
        <v>576</v>
      </c>
      <c r="F240" s="99" t="s">
        <v>73</v>
      </c>
      <c r="G240" s="102">
        <v>1</v>
      </c>
    </row>
    <row r="241" spans="1:7" s="40" customFormat="1" ht="95">
      <c r="A241" s="105" t="s">
        <v>571</v>
      </c>
      <c r="B241" s="99" t="s">
        <v>1046</v>
      </c>
      <c r="C241" s="100" t="s">
        <v>587</v>
      </c>
      <c r="D241" s="105" t="s">
        <v>580</v>
      </c>
      <c r="E241" s="99" t="s">
        <v>576</v>
      </c>
      <c r="F241" s="99" t="s">
        <v>71</v>
      </c>
      <c r="G241" s="102">
        <v>1</v>
      </c>
    </row>
    <row r="242" spans="1:7" s="40" customFormat="1" ht="95">
      <c r="A242" s="105" t="s">
        <v>572</v>
      </c>
      <c r="B242" s="99" t="s">
        <v>1046</v>
      </c>
      <c r="C242" s="100" t="s">
        <v>588</v>
      </c>
      <c r="D242" s="105" t="s">
        <v>340</v>
      </c>
      <c r="E242" s="99" t="s">
        <v>65</v>
      </c>
      <c r="F242" s="99" t="s">
        <v>78</v>
      </c>
      <c r="G242" s="102">
        <v>1</v>
      </c>
    </row>
    <row r="243" spans="1:7" s="40" customFormat="1" ht="95">
      <c r="A243" s="105" t="s">
        <v>573</v>
      </c>
      <c r="B243" s="99" t="s">
        <v>1046</v>
      </c>
      <c r="C243" s="100" t="s">
        <v>589</v>
      </c>
      <c r="D243" s="105" t="s">
        <v>581</v>
      </c>
      <c r="E243" s="99" t="s">
        <v>576</v>
      </c>
      <c r="F243" s="99" t="s">
        <v>71</v>
      </c>
      <c r="G243" s="102">
        <v>0.95</v>
      </c>
    </row>
    <row r="244" spans="1:7" s="40" customFormat="1" ht="95">
      <c r="A244" s="105" t="s">
        <v>574</v>
      </c>
      <c r="B244" s="99" t="s">
        <v>1046</v>
      </c>
      <c r="C244" s="100" t="s">
        <v>438</v>
      </c>
      <c r="D244" s="105" t="s">
        <v>341</v>
      </c>
      <c r="E244" s="99" t="s">
        <v>65</v>
      </c>
      <c r="F244" s="99" t="s">
        <v>71</v>
      </c>
      <c r="G244" s="102">
        <v>1</v>
      </c>
    </row>
    <row r="245" spans="1:7" s="40" customFormat="1" ht="21" thickBot="1">
      <c r="A245" s="95"/>
      <c r="B245" s="95"/>
      <c r="C245" s="96"/>
      <c r="D245" s="95"/>
      <c r="E245" s="97"/>
      <c r="F245" s="97"/>
      <c r="G245" s="98"/>
    </row>
    <row r="248" spans="1:7" ht="17.25" customHeight="1"/>
    <row r="250" spans="1:7" ht="17.25" customHeight="1"/>
    <row r="251" spans="1:7" ht="19.5" customHeight="1"/>
    <row r="252" spans="1:7" ht="24.75" customHeight="1"/>
    <row r="253" spans="1:7" ht="24" customHeight="1"/>
    <row r="254" spans="1:7" ht="29.25" customHeight="1"/>
  </sheetData>
  <mergeCells count="2">
    <mergeCell ref="A1:G1"/>
    <mergeCell ref="A2:C2"/>
  </mergeCells>
  <conditionalFormatting sqref="A36:A44 C38:C49">
    <cfRule type="expression" dxfId="576" priority="14495">
      <formula>#REF!="Echue"</formula>
    </cfRule>
  </conditionalFormatting>
  <conditionalFormatting sqref="A41:A43 C41:C44 A51:C51 A52:A53 C52:C53 B52:B57">
    <cfRule type="expression" dxfId="575" priority="14486">
      <formula>#REF!=100%</formula>
    </cfRule>
  </conditionalFormatting>
  <conditionalFormatting sqref="A41:A43 C41:C44">
    <cfRule type="expression" dxfId="574" priority="14492">
      <formula>#REF!="Echue"</formula>
    </cfRule>
    <cfRule type="expression" dxfId="573" priority="14493">
      <formula>#REF!="N/A"</formula>
    </cfRule>
    <cfRule type="expression" dxfId="572" priority="14496">
      <formula>#REF!="N/A"</formula>
    </cfRule>
  </conditionalFormatting>
  <conditionalFormatting sqref="A41:A44 C41:C44">
    <cfRule type="expression" dxfId="571" priority="14494">
      <formula>#REF!="Appliqué"</formula>
    </cfRule>
  </conditionalFormatting>
  <conditionalFormatting sqref="A22:C22 A23:A24 C23:C24 B23:B34 A27:A29 C27:C29 A30:C35 G87:G90 A87:C94 G94 G22:G25 G27 D34">
    <cfRule type="expression" dxfId="570" priority="14509">
      <formula>#REF!="Echue"</formula>
    </cfRule>
  </conditionalFormatting>
  <conditionalFormatting sqref="A22:C22 G22:G24 A23:A24 C23:C24 B23:B34 G27 A27:A29 C27:C29 A30:C34 D34 G87:G90 A87:C94 G94">
    <cfRule type="expression" dxfId="569" priority="14511">
      <formula>#REF!=100%</formula>
    </cfRule>
    <cfRule type="expression" dxfId="568" priority="14510">
      <formula>#REF!="N/A"</formula>
    </cfRule>
  </conditionalFormatting>
  <conditionalFormatting sqref="A51:C51 A52:A53 C52:C53 B52:B57">
    <cfRule type="expression" dxfId="567" priority="16297">
      <formula>#REF!="N/A"</formula>
    </cfRule>
    <cfRule type="expression" dxfId="566" priority="16296">
      <formula>#REF!="Echue"</formula>
    </cfRule>
  </conditionalFormatting>
  <conditionalFormatting sqref="A51:C51 C52:C53 A52:A53 B52:B57">
    <cfRule type="expression" dxfId="565" priority="16295">
      <formula>#REF!="N/A"</formula>
    </cfRule>
  </conditionalFormatting>
  <conditionalFormatting sqref="A51:C51 C52:C53">
    <cfRule type="expression" dxfId="564" priority="16294">
      <formula>#REF!="Echue"</formula>
    </cfRule>
  </conditionalFormatting>
  <conditionalFormatting sqref="A158:C159 A189:C192 B190:B195 A199:A206 C199:C206">
    <cfRule type="expression" dxfId="563" priority="16349">
      <formula>#REF!="Appliqué"</formula>
    </cfRule>
  </conditionalFormatting>
  <conditionalFormatting sqref="A158:C159 A189:C192 B190:B195 C199:C206 A199:A206">
    <cfRule type="expression" dxfId="562" priority="16348">
      <formula>#REF!="N/A"</formula>
    </cfRule>
  </conditionalFormatting>
  <conditionalFormatting sqref="A212:C214 B243:B244 A22:C22 G22:G24 C23:C27 A23:B29 F27:G27 C28:G29 A30:G33 B30:B34 A85:C133 G87:G90 G94 A5:G9 A11:G20 B20:B21 D112:G113 A134:G135 B135:B150 D136:G148 A136:C157 D151:G153 B152:B159 D189:G192 D199:G206 D212:G212 D213:F213 D214:G214 A228:G242 A245:G245">
    <cfRule type="expression" dxfId="561" priority="14598">
      <formula>#REF!="N/A"</formula>
    </cfRule>
  </conditionalFormatting>
  <conditionalFormatting sqref="A5:G9 A85:C86 B86:B94 A95:C133 D112:G113 A134:G135 B135:B150 D136:G148 A136:C159 D151:G153 D171:G171 D172:E173 A189:G192 B190:B195 C199:G206 D212:G212 A212:C214 D213:F213 D214:G214 A228:G242 B243:B244 A245:G245">
    <cfRule type="expression" dxfId="560" priority="14616">
      <formula>#REF!=100%</formula>
    </cfRule>
    <cfRule type="expression" dxfId="559" priority="14615">
      <formula>#REF!="N/A"</formula>
    </cfRule>
  </conditionalFormatting>
  <conditionalFormatting sqref="A5:G9 A85:C86 B86:B94 A95:C133 D112:G133 A134:G135 B135:B150 D136:G153 A136:C159 A189:G192 C199:G206 D207:G227 A212:C214 A228:G242 B243:B244 A245:G245 B190:B195 D171:G171 D172:E173">
    <cfRule type="expression" dxfId="558" priority="14613">
      <formula>#REF!="Echue"</formula>
    </cfRule>
  </conditionalFormatting>
  <conditionalFormatting sqref="A5:G10 B11:B21 A15:G21 A22:C22 C23:C27 A23:B29 C28:G29 A30:G33 B30:B34 A34:C34 F34 D35:F36 A35:D43 E38:E56 C44:D47 B44:B50 E45:G46 A45:A49 G47 F47:F56 C48:G49 A50:G50 A51:F51 G51:G56 C52:F53 A52:B57 C54:D56 C57:G57 A58:G61 F58:F69 B59:B69 A62:E69 G62:G74 A71:B84 C75:G84 G81:G111 A85:F86 E85:E93 A85:C111 D87:E93 F87:F94 D94:F111 F95:G104 A95:D111 E100:E157 B104:B114 F106:G111 A112:G114 F114:G133 A115:F133 A134:G160 C161:G162 E161:E170 A161:B177 C163:E164 F163:G170 C165:D170 D165:F171 C171:G171 C172:E175 G172:G175 D174:G174 C176:D177 D176:F188 E176:E192 F177:G198 A178:D196 D193:F198 C197:E198 A197:B209 C199:G206 C207:D209 F207:G212 D207:F245 A210:D227 F214:G227 A228:G234 A235:D245 F235:G245">
    <cfRule type="expression" dxfId="557" priority="14490">
      <formula>#REF!="Appliqué"</formula>
    </cfRule>
  </conditionalFormatting>
  <conditionalFormatting sqref="A10:G10 B11:B21 D35:D44">
    <cfRule type="expression" dxfId="556" priority="14830">
      <formula>#REF!="N/A"</formula>
    </cfRule>
    <cfRule type="expression" dxfId="555" priority="14831">
      <formula>#REF!=100%</formula>
    </cfRule>
  </conditionalFormatting>
  <conditionalFormatting sqref="A10:G10 B11:B21 D35:D49">
    <cfRule type="expression" dxfId="554" priority="14829">
      <formula>#REF!="Echue"</formula>
    </cfRule>
  </conditionalFormatting>
  <conditionalFormatting sqref="A10:G21 A34:E34 G34:G36 D35:F36 D37 D38:G44">
    <cfRule type="expression" dxfId="553" priority="14811">
      <formula>#REF!="Echue"</formula>
    </cfRule>
  </conditionalFormatting>
  <conditionalFormatting sqref="A10:G21 A34:E34 G34:G36">
    <cfRule type="expression" dxfId="552" priority="14810">
      <formula>#REF!="Appliqué"</formula>
    </cfRule>
  </conditionalFormatting>
  <conditionalFormatting sqref="A11:G20 B20:B21 A25:A26 C25:C26 F27 D28:G33">
    <cfRule type="expression" dxfId="551" priority="14815">
      <formula>#REF!=100%</formula>
    </cfRule>
    <cfRule type="expression" dxfId="550" priority="14814">
      <formula>#REF!="N/A"</formula>
    </cfRule>
  </conditionalFormatting>
  <conditionalFormatting sqref="A21:G21 E38:E53">
    <cfRule type="expression" dxfId="549" priority="14820">
      <formula>#REF!="Echue"</formula>
    </cfRule>
  </conditionalFormatting>
  <conditionalFormatting sqref="A21:G21 E38:G44 G25 E34:E36">
    <cfRule type="expression" dxfId="548" priority="14821">
      <formula>#REF!="N/A"</formula>
    </cfRule>
  </conditionalFormatting>
  <conditionalFormatting sqref="A21:G21 G25 E35:E36 E38:G44">
    <cfRule type="expression" dxfId="547" priority="14822">
      <formula>#REF!="N/A"</formula>
    </cfRule>
    <cfRule type="expression" dxfId="546" priority="14823">
      <formula>#REF!=100%</formula>
    </cfRule>
  </conditionalFormatting>
  <conditionalFormatting sqref="B11:B21 A10:G10 D35:D44">
    <cfRule type="expression" dxfId="545" priority="14828">
      <formula>#REF!="N/A"</formula>
    </cfRule>
  </conditionalFormatting>
  <conditionalFormatting sqref="B20:B21 B30:B34 A87:C94 A22:C22 D22:G25 C23:C27 A23:B29 D27:G33 C28:G29 A30:G33 G87:G94">
    <cfRule type="expression" dxfId="544" priority="14813">
      <formula>#REF!="Echue"</formula>
    </cfRule>
  </conditionalFormatting>
  <conditionalFormatting sqref="D34">
    <cfRule type="expression" dxfId="543" priority="16415">
      <formula>#REF!="N/A"</formula>
    </cfRule>
  </conditionalFormatting>
  <conditionalFormatting sqref="D45:D49 F62:F69 E66:E68 D68 G68:G69 F73:F74 G91:G93 G105 G156 G163:G164 E176:E177 E197:E198 E244">
    <cfRule type="expression" dxfId="542" priority="14929">
      <formula>#REF!=100%</formula>
    </cfRule>
    <cfRule type="expression" dxfId="541" priority="14928">
      <formula>#REF!="N/A"</formula>
    </cfRule>
  </conditionalFormatting>
  <conditionalFormatting sqref="D45:D49 F62:F69 G63:G84 D66:E68 F73:F74 G91:G93 G95:G111 D154:G170 D174:E188 D193:G198 D243:G244">
    <cfRule type="expression" dxfId="540" priority="14927">
      <formula>#REF!="Echue"</formula>
    </cfRule>
  </conditionalFormatting>
  <conditionalFormatting sqref="D22:F25 D27:E27 E34 G34">
    <cfRule type="expression" dxfId="539" priority="15218">
      <formula>#REF!=100%</formula>
    </cfRule>
    <cfRule type="expression" dxfId="538" priority="15217">
      <formula>#REF!="N/A"</formula>
    </cfRule>
    <cfRule type="expression" dxfId="537" priority="15216">
      <formula>#REF!="Echue"</formula>
    </cfRule>
  </conditionalFormatting>
  <conditionalFormatting sqref="D22:F25 D27:E27 G34 D34:E34">
    <cfRule type="expression" dxfId="536" priority="15215">
      <formula>#REF!="Appliqué"</formula>
    </cfRule>
  </conditionalFormatting>
  <conditionalFormatting sqref="D22:F25 D27:E27 G34">
    <cfRule type="expression" dxfId="535" priority="15214">
      <formula>#REF!="N/A"</formula>
    </cfRule>
  </conditionalFormatting>
  <conditionalFormatting sqref="D22:G27">
    <cfRule type="expression" dxfId="534" priority="174">
      <formula>#REF!="Appliqué"</formula>
    </cfRule>
  </conditionalFormatting>
  <conditionalFormatting sqref="D26:G26">
    <cfRule type="expression" dxfId="533" priority="15285">
      <formula>#REF!="N/A"</formula>
    </cfRule>
    <cfRule type="expression" dxfId="532" priority="15284">
      <formula>#REF!="Echue"</formula>
    </cfRule>
    <cfRule type="expression" dxfId="531" priority="15283">
      <formula>#REF!="Appliqué"</formula>
    </cfRule>
    <cfRule type="expression" dxfId="530" priority="15282">
      <formula>#REF!="N/A"</formula>
    </cfRule>
    <cfRule type="expression" dxfId="529" priority="15278">
      <formula>#REF!="Echue"</formula>
    </cfRule>
    <cfRule type="expression" dxfId="528" priority="15277">
      <formula>#REF!=100%</formula>
    </cfRule>
  </conditionalFormatting>
  <conditionalFormatting sqref="D37:G44">
    <cfRule type="expression" dxfId="527" priority="167">
      <formula>#REF!="Appliqué"</formula>
    </cfRule>
  </conditionalFormatting>
  <conditionalFormatting sqref="E66:E68 D68 G156 G163:G164 E244 F62:F69 G68:G69 G105 E176:E177 E197:E198">
    <cfRule type="expression" dxfId="526" priority="14925">
      <formula>#REF!="Echue"</formula>
    </cfRule>
  </conditionalFormatting>
  <conditionalFormatting sqref="E66:E68 D68 G156 G163:G164 E244">
    <cfRule type="expression" dxfId="525" priority="14924">
      <formula>#REF!="Appliqué"</formula>
    </cfRule>
  </conditionalFormatting>
  <conditionalFormatting sqref="E45:F53 D51:D53 A52:B57 G54:G56 C57:G57 D58:F61 A58:C69 G63:G67 D66:D67 G70:G86 D75:F80 A75:A84 C75:C84 F81:F84 D81:D86 E81:E93 F94:F111 G95:G104 D95:E111 G106:G111 D114:G133 D149:G150 G154:G155 D154:F164 G157:G162 D165:G170 F174 D174:E175 G174:G188 D176:D177 F176:F188 D178:E188 E193:E196 D193:D198 F193:G198 D207:G211 G213 D215:G227 D243:E243 F243:G244 D244 C54:E56">
    <cfRule type="expression" dxfId="524" priority="14938">
      <formula>#REF!="Echue"</formula>
    </cfRule>
  </conditionalFormatting>
  <conditionalFormatting sqref="E37:G37">
    <cfRule type="expression" dxfId="523" priority="163">
      <formula>#REF!=100%</formula>
    </cfRule>
    <cfRule type="expression" dxfId="522" priority="164">
      <formula>#REF!="Appliqué"</formula>
    </cfRule>
    <cfRule type="expression" dxfId="521" priority="165">
      <formula>#REF!="Echue"</formula>
    </cfRule>
    <cfRule type="expression" dxfId="520" priority="166">
      <formula>#REF!="N/A"</formula>
    </cfRule>
    <cfRule type="expression" dxfId="519" priority="168">
      <formula>#REF!="Echue"</formula>
    </cfRule>
    <cfRule type="expression" dxfId="518" priority="169">
      <formula>#REF!="N/A"</formula>
    </cfRule>
  </conditionalFormatting>
  <conditionalFormatting sqref="F34 A35:C35 B36:C37 A36:A40 B36:B50 C38:C40 A45:A49 C45:C49 G45:G53 A50:D50 F54:F56 G58:G62 D62:E65 D69:E69 F85:F93 D87:D93 D94:E94 F132 A160:C188 A193:C196 C197:C198 A197:A209 B197:B214 C207:C209 A210:C211 A215:C227 A243:C244">
    <cfRule type="expression" dxfId="517" priority="14524">
      <formula>#REF!="N/A"</formula>
    </cfRule>
    <cfRule type="expression" dxfId="516" priority="14525">
      <formula>#REF!=100%</formula>
    </cfRule>
  </conditionalFormatting>
  <conditionalFormatting sqref="F34 A35:C35 B36:C37 A36:A40 B36:B50 C38:C40 A45:A49 C45:C49 G45:G56 F48:F56 A50:D50 G58:G62 D62:E65 D69:E69 D75:F111 F132 A160:C188 A193:C196 C197:C198 A197:A209 B197:B214 C207:C209 A210:C211 A215:C227 A243:C244">
    <cfRule type="expression" dxfId="515" priority="14523">
      <formula>#REF!="Echue"</formula>
    </cfRule>
  </conditionalFormatting>
  <conditionalFormatting sqref="F34 A35:C35 B36:C37 A36:A40 B36:B50 C38:C40 A45:A49 C45:D49 G45:G53 A50:D50 F54:F56 G58:G62 D62:E65 D69:E69 F85:F93 D87:D93 D94:E94 F132 A160:C160 A161:A170 C161:C170 B161:B177 A174:A177 C174:C177 A178:C188 A193:C196 A197:A198 C197:C198 B197:B214 A207:A209 C207:C209 A210:C211 A215:C227 A243:C244">
    <cfRule type="expression" dxfId="514" priority="14522">
      <formula>#REF!="Appliqué"</formula>
    </cfRule>
  </conditionalFormatting>
  <conditionalFormatting sqref="F34 B36:C37 B36:B50 G45:G53 A50:D50 C54:F56 G58:G62 D62:E65 D69:E69 F85:F93 D87:D93 D94:E94 F132 A160:C160 A161:A170 C161:C170 B161:B177 A174:A177 C174:C177 A178:C188 A193:C196 A197:A198 C197:C198 B197:B214 A207:A209 C207:C209 A210:C211 A215:C227 A243:C244">
    <cfRule type="expression" dxfId="513" priority="14520">
      <formula>#REF!="Echue"</formula>
    </cfRule>
  </conditionalFormatting>
  <conditionalFormatting sqref="F34 B36:C37 B36:B50 G45:G53 A50:D50 C54:F56 G58:G62 D62:E65 D69:E69 F85:F93 D87:D93 D94:E94 F132 A160:C188 A193:C196 A197:A198 C197:C198 B197:B214 A207:A209 C207:C209 A210:C211 A215:C227 A243:C244 A34:C35 A45:A49 A36:A40 C38:C40 C45:C49">
    <cfRule type="expression" dxfId="512" priority="14521">
      <formula>#REF!="N/A"</formula>
    </cfRule>
  </conditionalFormatting>
  <conditionalFormatting sqref="F45:F46 D51:D53 A54:A57 C57:G57 D58:F61 G63:G67 D66:D67 G70:G84 G95:G104 G106:G111 G154:G155 D154:F164 G157:G162 D165:G170 D174:E175 D176:D177 D178:E188 E193:E196 D193:D198 F193:G198 D243:E243 F243:G244 D244 E45:E53 D114:G133 D149:G150 D207:G211 G213 D215:G227 F48:F53 G54:G56 D75:F80 F81:F84 D81:D86 E81:E93 F94:F111 D95:E111 A58:C69 A75:A84 C75:C84 F174 G174:G188 F176:F188">
    <cfRule type="expression" dxfId="511" priority="14937">
      <formula>#REF!="N/A"</formula>
    </cfRule>
  </conditionalFormatting>
  <conditionalFormatting sqref="F45:F46 D51:D53 A54:A57 C57:G57 D58:F61">
    <cfRule type="expression" dxfId="510" priority="14936">
      <formula>#REF!="Echue"</formula>
    </cfRule>
  </conditionalFormatting>
  <conditionalFormatting sqref="F45:F46 E45:E53 F48:F53 D51:D53 C54:E56 G54:G56 A54:A57 C57:G57 D58:F61 A58:C69 G63:G67 D66:D67 G70:G84 D75:F80 A75:A84 C75:C84 F81:F84 D81:D86 E81:E93 F94:F111 G95:G104 D95:E111 G106:G111 D114:G133 D149:G150 G154:G155 D154:F164 G157:G162 D165:G170 F174 D174:E175 G174:G188 D176:D177 F176:F188 D178:E188 E193:E196 D193:D198 F193:G198 D207:G211 G213 D215:G227 D243:E243 F243:G244 D244">
    <cfRule type="expression" dxfId="509" priority="14939">
      <formula>#REF!="N/A"</formula>
    </cfRule>
    <cfRule type="expression" dxfId="508" priority="14940">
      <formula>#REF!=100%</formula>
    </cfRule>
  </conditionalFormatting>
  <conditionalFormatting sqref="F47">
    <cfRule type="expression" dxfId="507" priority="15589">
      <formula>#REF!="N/A"</formula>
    </cfRule>
    <cfRule type="expression" dxfId="506" priority="15588">
      <formula>#REF!="N/A"</formula>
    </cfRule>
    <cfRule type="expression" dxfId="505" priority="15590">
      <formula>#REF!=100%</formula>
    </cfRule>
  </conditionalFormatting>
  <conditionalFormatting sqref="F62:F69 E66:E68 D68 G68:G69 G105 G156 G163:G164 E176:E177 E197:E198 E244 D45:D49 G91:G93 F73:F74">
    <cfRule type="expression" dxfId="504" priority="14926">
      <formula>#REF!="N/A"</formula>
    </cfRule>
  </conditionalFormatting>
  <conditionalFormatting sqref="F35:G36">
    <cfRule type="expression" dxfId="503" priority="15568">
      <formula>#REF!="N/A"</formula>
    </cfRule>
    <cfRule type="expression" dxfId="502" priority="15569">
      <formula>#REF!="N/A"</formula>
    </cfRule>
    <cfRule type="expression" dxfId="501" priority="15570">
      <formula>#REF!=100%</formula>
    </cfRule>
  </conditionalFormatting>
  <conditionalFormatting sqref="G5:G6 A44 A70:C70 D70:F72 A71:A74 C71:C74 B71:B84 D73:E74 F172:G173 F175">
    <cfRule type="expression" dxfId="500" priority="14508">
      <formula>#REF!=100%</formula>
    </cfRule>
    <cfRule type="expression" dxfId="499" priority="14507">
      <formula>#REF!="N/A"</formula>
    </cfRule>
  </conditionalFormatting>
  <conditionalFormatting sqref="G5:G6 A44 A70:C70 D70:F74 A71:A74 C71:C74 B71:B84 F172:F173 F175">
    <cfRule type="expression" dxfId="498" priority="14505">
      <formula>#REF!="Appliqué"</formula>
    </cfRule>
  </conditionalFormatting>
  <conditionalFormatting sqref="G5:G6 A44:A49 A58:C84 D70:F74 F172:G188">
    <cfRule type="expression" dxfId="497" priority="14506">
      <formula>#REF!="Echue"</formula>
    </cfRule>
  </conditionalFormatting>
  <conditionalFormatting sqref="G5:G6 A70:C70 D70:F72 A71:A74 C71:C74 B71:B84 D73:E74 D171:G173 F175 A44">
    <cfRule type="expression" dxfId="496" priority="14504">
      <formula>#REF!="N/A"</formula>
    </cfRule>
  </conditionalFormatting>
  <conditionalFormatting sqref="G5:G6 A70:C70 D70:F72 C71:C74 D73:E74 F172:F173 F175 A71:A74 B71:B84">
    <cfRule type="expression" dxfId="495" priority="14503">
      <formula>#REF!="Echue"</formula>
    </cfRule>
  </conditionalFormatting>
  <conditionalFormatting sqref="G5:G6 A70:C70 D70:F72 C71:C74 D73:E74 F172:F173 F175">
    <cfRule type="expression" dxfId="494" priority="14502">
      <formula>#REF!="Appliqué"</formula>
    </cfRule>
  </conditionalFormatting>
  <conditionalFormatting sqref="G85:G86">
    <cfRule type="expression" dxfId="493" priority="15991">
      <formula>#REF!="Appliqué"</formula>
    </cfRule>
    <cfRule type="expression" dxfId="492" priority="15992">
      <formula>#REF!="Echue"</formula>
    </cfRule>
    <cfRule type="expression" dxfId="491" priority="15993">
      <formula>#REF!="N/A"</formula>
    </cfRule>
    <cfRule type="expression" dxfId="490" priority="15994">
      <formula>#REF!=100%</formula>
    </cfRule>
    <cfRule type="expression" dxfId="489" priority="15990">
      <formula>#REF!="N/A"</formula>
    </cfRule>
    <cfRule type="expression" dxfId="488" priority="15996">
      <formula>#REF!="Echue"</formula>
    </cfRule>
    <cfRule type="expression" dxfId="487" priority="15997">
      <formula>#REF!="N/A"</formula>
    </cfRule>
    <cfRule type="expression" dxfId="486" priority="15998">
      <formula>#REF!="Echue"</formula>
    </cfRule>
    <cfRule type="expression" dxfId="485" priority="15999">
      <formula>#REF!="N/A"</formula>
    </cfRule>
    <cfRule type="expression" dxfId="484" priority="16000">
      <formula>#REF!=100%</formula>
    </cfRule>
    <cfRule type="expression" dxfId="483" priority="15995">
      <formula>#REF!="Appliqué"</formula>
    </cfRule>
  </conditionalFormatting>
  <conditionalFormatting sqref="G176 G213">
    <cfRule type="expression" dxfId="482" priority="16264">
      <formula>#REF!="Appliqué"</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93E3-CE1F-4FA4-8FA1-319FF310EE67}">
  <sheetPr filterMode="1">
    <pageSetUpPr fitToPage="1"/>
  </sheetPr>
  <dimension ref="A1:AE104"/>
  <sheetViews>
    <sheetView view="pageBreakPreview" zoomScale="70" zoomScaleNormal="100" zoomScaleSheetLayoutView="70" workbookViewId="0">
      <selection activeCell="L41" sqref="L41:L95"/>
    </sheetView>
  </sheetViews>
  <sheetFormatPr baseColWidth="10" defaultRowHeight="15"/>
  <cols>
    <col min="1" max="1" width="12.1640625" customWidth="1"/>
    <col min="2" max="2" width="69.83203125" customWidth="1"/>
    <col min="3" max="3" width="62.33203125" customWidth="1"/>
    <col min="4" max="5" width="18.6640625" customWidth="1"/>
    <col min="6" max="6" width="12.83203125" customWidth="1"/>
    <col min="7" max="7" width="10" customWidth="1"/>
    <col min="8" max="8" width="17.1640625" bestFit="1" customWidth="1"/>
    <col min="9" max="9" width="10" customWidth="1"/>
    <col min="10" max="10" width="17.1640625" bestFit="1" customWidth="1"/>
    <col min="11" max="11" width="10" customWidth="1"/>
    <col min="12" max="12" width="17.1640625" bestFit="1" customWidth="1"/>
    <col min="13" max="13" width="10" customWidth="1"/>
    <col min="14" max="14" width="17.1640625" bestFit="1" customWidth="1"/>
    <col min="15" max="15" width="10" customWidth="1"/>
    <col min="16" max="16" width="17.1640625" bestFit="1" customWidth="1"/>
    <col min="17" max="17" width="10" customWidth="1"/>
    <col min="18" max="18" width="17.1640625" bestFit="1" customWidth="1"/>
    <col min="19" max="19" width="10" customWidth="1"/>
    <col min="20" max="20" width="17.1640625" bestFit="1" customWidth="1"/>
    <col min="21" max="21" width="10" customWidth="1"/>
    <col min="22" max="22" width="11.5" customWidth="1"/>
    <col min="23" max="23" width="10" customWidth="1"/>
    <col min="24" max="24" width="17.1640625" bestFit="1" customWidth="1"/>
    <col min="25" max="25" width="10" customWidth="1"/>
    <col min="26" max="26" width="17.1640625" bestFit="1" customWidth="1"/>
    <col min="27" max="27" width="10" customWidth="1"/>
    <col min="28" max="28" width="17.1640625" bestFit="1" customWidth="1"/>
    <col min="29" max="29" width="10" customWidth="1"/>
    <col min="30" max="30" width="17.1640625" bestFit="1" customWidth="1"/>
    <col min="31" max="31" width="55.33203125" customWidth="1"/>
  </cols>
  <sheetData>
    <row r="1" spans="1:31" s="48" customFormat="1" ht="33">
      <c r="A1" s="109" t="s">
        <v>98</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row>
    <row r="2" spans="1:31" s="40" customFormat="1" ht="18" customHeight="1">
      <c r="A2" s="2" t="s">
        <v>97</v>
      </c>
      <c r="B2" s="2"/>
      <c r="C2" s="2"/>
      <c r="D2" s="2"/>
      <c r="E2" s="2"/>
      <c r="F2" s="2"/>
      <c r="G2" s="2"/>
      <c r="H2" s="82"/>
      <c r="I2" s="82"/>
      <c r="J2" s="82"/>
      <c r="K2" s="82"/>
      <c r="L2" s="82"/>
      <c r="M2" s="82"/>
      <c r="N2" s="82"/>
      <c r="O2" s="82"/>
      <c r="P2" s="82"/>
      <c r="Q2" s="82"/>
      <c r="R2" s="82"/>
      <c r="S2" s="82"/>
      <c r="T2" s="82"/>
      <c r="U2" s="82"/>
      <c r="V2" s="82"/>
      <c r="W2" s="82"/>
      <c r="X2" s="82"/>
      <c r="Y2" s="82"/>
      <c r="Z2" s="82"/>
      <c r="AA2" s="82"/>
      <c r="AB2" s="82"/>
      <c r="AC2" s="82"/>
      <c r="AD2" s="82"/>
      <c r="AE2" s="82"/>
    </row>
    <row r="3" spans="1:31" s="40" customFormat="1" ht="20.25" customHeight="1">
      <c r="A3" s="2" t="s">
        <v>75</v>
      </c>
      <c r="B3" s="2"/>
      <c r="C3" s="2"/>
      <c r="D3" s="2"/>
      <c r="E3" s="2"/>
      <c r="F3" s="2"/>
      <c r="G3" s="2"/>
      <c r="H3" s="82"/>
      <c r="I3" s="41"/>
      <c r="J3" s="41"/>
      <c r="K3" s="41"/>
      <c r="L3" s="41"/>
      <c r="M3" s="41"/>
      <c r="N3" s="41"/>
      <c r="O3" s="41"/>
      <c r="P3" s="41"/>
      <c r="Q3" s="41"/>
      <c r="R3" s="41"/>
      <c r="S3" s="41"/>
      <c r="T3" s="41"/>
      <c r="U3" s="41"/>
      <c r="V3" s="41"/>
      <c r="W3" s="41"/>
      <c r="X3" s="41"/>
      <c r="Y3" s="41"/>
      <c r="Z3" s="41"/>
      <c r="AA3" s="41"/>
      <c r="AB3" s="41"/>
      <c r="AC3" s="41"/>
      <c r="AD3" s="41"/>
      <c r="AE3" s="41"/>
    </row>
    <row r="4" spans="1:31" s="40" customFormat="1" ht="20.25" customHeight="1">
      <c r="A4" s="2" t="s">
        <v>69</v>
      </c>
      <c r="B4" s="2"/>
      <c r="C4" s="49">
        <f ca="1">TODAY()</f>
        <v>46183</v>
      </c>
      <c r="D4" s="90"/>
      <c r="E4" s="90"/>
      <c r="F4" s="90"/>
      <c r="G4" s="90"/>
      <c r="I4" s="41"/>
      <c r="J4" s="41"/>
      <c r="K4" s="41"/>
      <c r="L4" s="41"/>
      <c r="M4" s="41"/>
      <c r="N4" s="41"/>
      <c r="O4" s="41"/>
      <c r="P4" s="41"/>
      <c r="Q4" s="41"/>
      <c r="R4" s="41"/>
      <c r="S4" s="41"/>
      <c r="T4" s="41"/>
      <c r="U4" s="41"/>
      <c r="V4" s="41"/>
      <c r="W4" s="41"/>
      <c r="X4" s="41"/>
      <c r="Y4" s="41"/>
      <c r="Z4" s="41"/>
      <c r="AA4" s="41"/>
      <c r="AB4" s="41"/>
      <c r="AC4" s="41"/>
      <c r="AD4" s="41"/>
      <c r="AE4" s="41"/>
    </row>
    <row r="5" spans="1:31" s="43" customFormat="1" ht="14"/>
    <row r="6" spans="1:31" s="47" customFormat="1" ht="41.25" customHeight="1" thickBot="1">
      <c r="A6" s="111" t="s">
        <v>39</v>
      </c>
      <c r="B6" s="111"/>
      <c r="C6" s="111"/>
      <c r="D6" s="111"/>
      <c r="E6" s="111"/>
      <c r="F6" s="111"/>
      <c r="G6" s="93"/>
      <c r="H6" s="86">
        <f>AVERAGE(H9:H95)</f>
        <v>0.94666666666666666</v>
      </c>
      <c r="I6" s="94"/>
      <c r="J6" s="86">
        <f>AVERAGE(J9:J95)</f>
        <v>0.94833333333333336</v>
      </c>
      <c r="K6" s="94"/>
      <c r="L6" s="86">
        <f>AVERAGE(L9:L95)</f>
        <v>0.94727272727272727</v>
      </c>
      <c r="M6" s="94"/>
      <c r="N6" s="86">
        <f>AVERAGE(N9:N95)</f>
        <v>0.87090909090909097</v>
      </c>
      <c r="O6" s="94"/>
      <c r="P6" s="86" t="e">
        <f>AVERAGE(P9:P95)</f>
        <v>#DIV/0!</v>
      </c>
      <c r="Q6" s="94"/>
      <c r="R6" s="86" t="e">
        <f>AVERAGE(R9:R95)</f>
        <v>#DIV/0!</v>
      </c>
      <c r="S6" s="94"/>
      <c r="T6" s="86" t="e">
        <f>AVERAGE(T9:T95)</f>
        <v>#DIV/0!</v>
      </c>
      <c r="U6" s="94"/>
      <c r="V6" s="86" t="e">
        <f>AVERAGE(V9:V95)</f>
        <v>#DIV/0!</v>
      </c>
      <c r="W6" s="94"/>
      <c r="X6" s="86" t="e">
        <f>AVERAGE(X9:X95)</f>
        <v>#DIV/0!</v>
      </c>
      <c r="Y6" s="94"/>
      <c r="Z6" s="86" t="e">
        <f>AVERAGE(Z9:Z95)</f>
        <v>#DIV/0!</v>
      </c>
      <c r="AA6" s="94"/>
      <c r="AB6" s="86" t="e">
        <f>AVERAGE(AB9:AB95)</f>
        <v>#DIV/0!</v>
      </c>
      <c r="AC6" s="94"/>
      <c r="AD6" s="86" t="e">
        <f>AVERAGE(AD9:AD95)</f>
        <v>#DIV/0!</v>
      </c>
      <c r="AE6" s="46"/>
    </row>
    <row r="7" spans="1:31" s="40" customFormat="1" ht="43.5" customHeight="1" thickBot="1">
      <c r="A7" s="44"/>
      <c r="B7" s="44"/>
      <c r="C7" s="44"/>
      <c r="D7" s="44"/>
      <c r="E7" s="44"/>
      <c r="F7" s="44"/>
      <c r="G7" s="1" t="s">
        <v>778</v>
      </c>
      <c r="H7" s="108"/>
      <c r="I7" s="1" t="s">
        <v>779</v>
      </c>
      <c r="J7" s="108"/>
      <c r="K7" s="1" t="s">
        <v>780</v>
      </c>
      <c r="L7" s="108"/>
      <c r="M7" s="1" t="s">
        <v>781</v>
      </c>
      <c r="N7" s="108"/>
      <c r="O7" s="1" t="s">
        <v>782</v>
      </c>
      <c r="P7" s="108"/>
      <c r="Q7" s="1" t="s">
        <v>783</v>
      </c>
      <c r="R7" s="108"/>
      <c r="S7" s="1" t="s">
        <v>784</v>
      </c>
      <c r="T7" s="108"/>
      <c r="U7" s="1" t="s">
        <v>785</v>
      </c>
      <c r="V7" s="108"/>
      <c r="W7" s="1" t="s">
        <v>786</v>
      </c>
      <c r="X7" s="108"/>
      <c r="Y7" s="1" t="s">
        <v>1022</v>
      </c>
      <c r="Z7" s="108"/>
      <c r="AA7" s="1" t="s">
        <v>1023</v>
      </c>
      <c r="AB7" s="108"/>
      <c r="AC7" s="1" t="s">
        <v>1024</v>
      </c>
      <c r="AD7" s="108"/>
      <c r="AE7" s="44"/>
    </row>
    <row r="8" spans="1:31" s="40" customFormat="1" ht="43.5" customHeight="1" thickBot="1">
      <c r="A8" s="44" t="s">
        <v>49</v>
      </c>
      <c r="B8" s="44" t="s">
        <v>100</v>
      </c>
      <c r="C8" s="44" t="s">
        <v>28</v>
      </c>
      <c r="D8" s="44" t="s">
        <v>64</v>
      </c>
      <c r="E8" s="44" t="s">
        <v>70</v>
      </c>
      <c r="F8" s="44" t="s">
        <v>48</v>
      </c>
      <c r="G8" s="44" t="s">
        <v>29</v>
      </c>
      <c r="H8" s="44" t="s">
        <v>30</v>
      </c>
      <c r="I8" s="44" t="s">
        <v>29</v>
      </c>
      <c r="J8" s="44" t="s">
        <v>30</v>
      </c>
      <c r="K8" s="44" t="s">
        <v>29</v>
      </c>
      <c r="L8" s="44" t="s">
        <v>30</v>
      </c>
      <c r="M8" s="44" t="s">
        <v>29</v>
      </c>
      <c r="N8" s="44" t="s">
        <v>30</v>
      </c>
      <c r="O8" s="44" t="s">
        <v>29</v>
      </c>
      <c r="P8" s="44" t="s">
        <v>30</v>
      </c>
      <c r="Q8" s="44" t="s">
        <v>29</v>
      </c>
      <c r="R8" s="44" t="s">
        <v>30</v>
      </c>
      <c r="S8" s="44" t="s">
        <v>29</v>
      </c>
      <c r="T8" s="44" t="s">
        <v>30</v>
      </c>
      <c r="U8" s="44" t="s">
        <v>29</v>
      </c>
      <c r="V8" s="44" t="s">
        <v>30</v>
      </c>
      <c r="W8" s="44" t="s">
        <v>29</v>
      </c>
      <c r="X8" s="44" t="s">
        <v>30</v>
      </c>
      <c r="Y8" s="44" t="s">
        <v>29</v>
      </c>
      <c r="Z8" s="44" t="s">
        <v>30</v>
      </c>
      <c r="AA8" s="44" t="s">
        <v>29</v>
      </c>
      <c r="AB8" s="44" t="s">
        <v>30</v>
      </c>
      <c r="AC8" s="44" t="s">
        <v>29</v>
      </c>
      <c r="AD8" s="44" t="s">
        <v>30</v>
      </c>
      <c r="AE8" s="44" t="s">
        <v>2</v>
      </c>
    </row>
    <row r="9" spans="1:31" s="40" customFormat="1" ht="39" hidden="1" thickBot="1">
      <c r="A9" s="53" t="s">
        <v>856</v>
      </c>
      <c r="B9" s="50" t="s">
        <v>857</v>
      </c>
      <c r="C9" s="50" t="s">
        <v>858</v>
      </c>
      <c r="D9" s="53" t="s">
        <v>65</v>
      </c>
      <c r="E9" s="53" t="s">
        <v>859</v>
      </c>
      <c r="F9" s="54">
        <v>1</v>
      </c>
      <c r="G9" s="83"/>
      <c r="H9" s="83"/>
      <c r="I9" s="52"/>
      <c r="J9" s="52"/>
      <c r="K9" s="52"/>
      <c r="L9" s="52"/>
      <c r="M9" s="52"/>
      <c r="N9" s="52"/>
      <c r="O9" s="52"/>
      <c r="P9" s="52"/>
      <c r="Q9" s="52"/>
      <c r="R9" s="52"/>
      <c r="S9" s="52"/>
      <c r="T9" s="52"/>
      <c r="U9" s="52"/>
      <c r="V9" s="52"/>
      <c r="W9" s="52"/>
      <c r="X9" s="52"/>
      <c r="Y9" s="52"/>
      <c r="Z9" s="52"/>
      <c r="AA9" s="52">
        <v>1</v>
      </c>
      <c r="AB9" s="52"/>
      <c r="AC9" s="52"/>
      <c r="AD9" s="52"/>
      <c r="AE9" s="50" t="s">
        <v>860</v>
      </c>
    </row>
    <row r="10" spans="1:31" s="40" customFormat="1" ht="21" hidden="1" thickBot="1">
      <c r="A10" s="53" t="s">
        <v>856</v>
      </c>
      <c r="B10" s="50" t="s">
        <v>861</v>
      </c>
      <c r="C10" s="50" t="s">
        <v>862</v>
      </c>
      <c r="D10" s="53" t="s">
        <v>65</v>
      </c>
      <c r="E10" s="53" t="s">
        <v>863</v>
      </c>
      <c r="F10" s="54">
        <v>1</v>
      </c>
      <c r="G10" s="83"/>
      <c r="H10" s="83"/>
      <c r="I10" s="52"/>
      <c r="J10" s="52"/>
      <c r="K10" s="52"/>
      <c r="L10" s="52"/>
      <c r="M10" s="52"/>
      <c r="N10" s="52"/>
      <c r="O10" s="52"/>
      <c r="P10" s="52"/>
      <c r="Q10" s="52">
        <v>1</v>
      </c>
      <c r="R10" s="52"/>
      <c r="S10" s="52"/>
      <c r="T10" s="52"/>
      <c r="U10" s="52"/>
      <c r="V10" s="52"/>
      <c r="W10" s="52"/>
      <c r="X10" s="52"/>
      <c r="Y10" s="52"/>
      <c r="Z10" s="52"/>
      <c r="AA10" s="52"/>
      <c r="AB10" s="52"/>
      <c r="AC10" s="52">
        <v>1</v>
      </c>
      <c r="AD10" s="52"/>
      <c r="AE10" s="50" t="s">
        <v>860</v>
      </c>
    </row>
    <row r="11" spans="1:31" s="40" customFormat="1" ht="39" hidden="1" thickBot="1">
      <c r="A11" s="53" t="s">
        <v>856</v>
      </c>
      <c r="B11" s="50" t="s">
        <v>864</v>
      </c>
      <c r="C11" s="50" t="s">
        <v>865</v>
      </c>
      <c r="D11" s="53" t="s">
        <v>65</v>
      </c>
      <c r="E11" s="53" t="s">
        <v>866</v>
      </c>
      <c r="F11" s="54">
        <v>1</v>
      </c>
      <c r="G11" s="83"/>
      <c r="H11" s="83"/>
      <c r="I11" s="52">
        <v>1</v>
      </c>
      <c r="J11" s="52">
        <v>0.8</v>
      </c>
      <c r="K11" s="52"/>
      <c r="L11" s="52"/>
      <c r="M11" s="52"/>
      <c r="N11" s="52"/>
      <c r="O11" s="52"/>
      <c r="P11" s="52"/>
      <c r="Q11" s="52"/>
      <c r="R11" s="52"/>
      <c r="S11" s="52"/>
      <c r="T11" s="52"/>
      <c r="U11" s="52"/>
      <c r="V11" s="52"/>
      <c r="W11" s="52"/>
      <c r="X11" s="52"/>
      <c r="Y11" s="52"/>
      <c r="Z11" s="52"/>
      <c r="AA11" s="52"/>
      <c r="AB11" s="52"/>
      <c r="AC11" s="52"/>
      <c r="AD11" s="52"/>
      <c r="AE11" s="50" t="s">
        <v>867</v>
      </c>
    </row>
    <row r="12" spans="1:31" s="40" customFormat="1" ht="21" hidden="1" thickBot="1">
      <c r="A12" s="53" t="s">
        <v>856</v>
      </c>
      <c r="B12" s="50" t="s">
        <v>868</v>
      </c>
      <c r="C12" s="50" t="s">
        <v>869</v>
      </c>
      <c r="D12" s="53" t="s">
        <v>65</v>
      </c>
      <c r="E12" s="53" t="s">
        <v>870</v>
      </c>
      <c r="F12" s="54">
        <v>1</v>
      </c>
      <c r="G12" s="83"/>
      <c r="H12" s="83"/>
      <c r="I12" s="52"/>
      <c r="J12" s="52"/>
      <c r="K12" s="52"/>
      <c r="L12" s="52"/>
      <c r="M12" s="52"/>
      <c r="N12" s="52"/>
      <c r="O12" s="52"/>
      <c r="P12" s="52"/>
      <c r="Q12" s="52"/>
      <c r="R12" s="52"/>
      <c r="S12" s="52">
        <v>1</v>
      </c>
      <c r="T12" s="52"/>
      <c r="U12" s="52"/>
      <c r="V12" s="52"/>
      <c r="W12" s="52"/>
      <c r="X12" s="52"/>
      <c r="Y12" s="52"/>
      <c r="Z12" s="52"/>
      <c r="AA12" s="52"/>
      <c r="AB12" s="52"/>
      <c r="AC12" s="52"/>
      <c r="AD12" s="52"/>
      <c r="AE12" s="50" t="s">
        <v>867</v>
      </c>
    </row>
    <row r="13" spans="1:31" s="40" customFormat="1" ht="77" hidden="1" thickBot="1">
      <c r="A13" s="53" t="s">
        <v>101</v>
      </c>
      <c r="B13" s="50" t="s">
        <v>871</v>
      </c>
      <c r="C13" s="50" t="s">
        <v>872</v>
      </c>
      <c r="D13" s="53" t="s">
        <v>65</v>
      </c>
      <c r="E13" s="53" t="s">
        <v>859</v>
      </c>
      <c r="F13" s="54">
        <v>1</v>
      </c>
      <c r="G13" s="83"/>
      <c r="H13" s="83"/>
      <c r="I13" s="52"/>
      <c r="J13" s="52"/>
      <c r="K13" s="52"/>
      <c r="L13" s="52"/>
      <c r="M13" s="52"/>
      <c r="N13" s="52"/>
      <c r="O13" s="52"/>
      <c r="P13" s="52"/>
      <c r="Q13" s="52"/>
      <c r="R13" s="52"/>
      <c r="S13" s="52"/>
      <c r="T13" s="52"/>
      <c r="U13" s="52"/>
      <c r="V13" s="52"/>
      <c r="W13" s="52"/>
      <c r="X13" s="52"/>
      <c r="Y13" s="52"/>
      <c r="Z13" s="52"/>
      <c r="AA13" s="52">
        <v>1</v>
      </c>
      <c r="AB13" s="52"/>
      <c r="AC13" s="52"/>
      <c r="AD13" s="52"/>
      <c r="AE13" s="50" t="s">
        <v>860</v>
      </c>
    </row>
    <row r="14" spans="1:31" s="40" customFormat="1" ht="21" hidden="1" thickBot="1">
      <c r="A14" s="53" t="s">
        <v>873</v>
      </c>
      <c r="B14" s="50" t="s">
        <v>359</v>
      </c>
      <c r="C14" s="50" t="s">
        <v>874</v>
      </c>
      <c r="D14" s="53" t="s">
        <v>65</v>
      </c>
      <c r="E14" s="53" t="s">
        <v>360</v>
      </c>
      <c r="F14" s="54">
        <v>1</v>
      </c>
      <c r="G14" s="83"/>
      <c r="H14" s="83"/>
      <c r="I14" s="52"/>
      <c r="J14" s="52"/>
      <c r="K14" s="52"/>
      <c r="L14" s="52"/>
      <c r="M14" s="52"/>
      <c r="N14" s="52"/>
      <c r="O14" s="52"/>
      <c r="P14" s="52"/>
      <c r="Q14" s="52"/>
      <c r="R14" s="52"/>
      <c r="S14" s="52"/>
      <c r="T14" s="52"/>
      <c r="U14" s="52"/>
      <c r="V14" s="52"/>
      <c r="W14" s="52"/>
      <c r="X14" s="52"/>
      <c r="Y14" s="52">
        <v>1</v>
      </c>
      <c r="Z14" s="52"/>
      <c r="AA14" s="52"/>
      <c r="AB14" s="52"/>
      <c r="AC14" s="52"/>
      <c r="AD14" s="52"/>
      <c r="AE14" s="50" t="s">
        <v>867</v>
      </c>
    </row>
    <row r="15" spans="1:31" s="40" customFormat="1" ht="58" hidden="1" thickBot="1">
      <c r="A15" s="53" t="s">
        <v>873</v>
      </c>
      <c r="B15" s="50" t="s">
        <v>875</v>
      </c>
      <c r="C15" s="50" t="s">
        <v>876</v>
      </c>
      <c r="D15" s="53" t="s">
        <v>65</v>
      </c>
      <c r="E15" s="53" t="s">
        <v>73</v>
      </c>
      <c r="F15" s="54">
        <v>1</v>
      </c>
      <c r="G15" s="83"/>
      <c r="H15" s="83"/>
      <c r="I15" s="52"/>
      <c r="J15" s="52"/>
      <c r="K15" s="52">
        <v>1</v>
      </c>
      <c r="L15" s="52"/>
      <c r="M15" s="52"/>
      <c r="N15" s="52"/>
      <c r="O15" s="52"/>
      <c r="P15" s="52"/>
      <c r="Q15" s="52">
        <v>1</v>
      </c>
      <c r="R15" s="52"/>
      <c r="S15" s="52"/>
      <c r="T15" s="52"/>
      <c r="U15" s="52"/>
      <c r="V15" s="52"/>
      <c r="W15" s="52">
        <v>1</v>
      </c>
      <c r="X15" s="52"/>
      <c r="Y15" s="52"/>
      <c r="Z15" s="52"/>
      <c r="AA15" s="52"/>
      <c r="AB15" s="52"/>
      <c r="AC15" s="52">
        <v>1</v>
      </c>
      <c r="AD15" s="52"/>
      <c r="AE15" s="50" t="s">
        <v>867</v>
      </c>
    </row>
    <row r="16" spans="1:31" s="40" customFormat="1" ht="39" hidden="1" thickBot="1">
      <c r="A16" s="53" t="s">
        <v>873</v>
      </c>
      <c r="B16" s="50" t="s">
        <v>877</v>
      </c>
      <c r="C16" s="50" t="s">
        <v>878</v>
      </c>
      <c r="D16" s="53" t="s">
        <v>65</v>
      </c>
      <c r="E16" s="53" t="s">
        <v>73</v>
      </c>
      <c r="F16" s="54">
        <v>1</v>
      </c>
      <c r="G16" s="83"/>
      <c r="H16" s="83"/>
      <c r="I16" s="52"/>
      <c r="J16" s="52"/>
      <c r="K16" s="52">
        <v>1</v>
      </c>
      <c r="L16" s="52">
        <v>1</v>
      </c>
      <c r="M16" s="52"/>
      <c r="N16" s="52"/>
      <c r="O16" s="52"/>
      <c r="P16" s="52"/>
      <c r="Q16" s="52">
        <v>1</v>
      </c>
      <c r="R16" s="52"/>
      <c r="S16" s="52"/>
      <c r="T16" s="52"/>
      <c r="U16" s="52"/>
      <c r="V16" s="52"/>
      <c r="W16" s="52">
        <v>1</v>
      </c>
      <c r="X16" s="52"/>
      <c r="Y16" s="52"/>
      <c r="Z16" s="52"/>
      <c r="AA16" s="52"/>
      <c r="AB16" s="52"/>
      <c r="AC16" s="52">
        <v>1</v>
      </c>
      <c r="AD16" s="52"/>
      <c r="AE16" s="50" t="s">
        <v>879</v>
      </c>
    </row>
    <row r="17" spans="1:31" s="40" customFormat="1" ht="39" hidden="1" thickBot="1">
      <c r="A17" s="53" t="s">
        <v>883</v>
      </c>
      <c r="B17" s="50" t="s">
        <v>884</v>
      </c>
      <c r="C17" s="50" t="s">
        <v>885</v>
      </c>
      <c r="D17" s="53" t="s">
        <v>65</v>
      </c>
      <c r="E17" s="53" t="s">
        <v>866</v>
      </c>
      <c r="F17" s="54">
        <v>1</v>
      </c>
      <c r="G17" s="83"/>
      <c r="H17" s="83"/>
      <c r="I17" s="52">
        <v>1</v>
      </c>
      <c r="J17" s="52">
        <v>0.85</v>
      </c>
      <c r="K17" s="52"/>
      <c r="L17" s="52"/>
      <c r="M17" s="52"/>
      <c r="N17" s="52"/>
      <c r="O17" s="52"/>
      <c r="P17" s="52"/>
      <c r="Q17" s="52"/>
      <c r="R17" s="52"/>
      <c r="S17" s="52"/>
      <c r="T17" s="52"/>
      <c r="U17" s="52"/>
      <c r="V17" s="52"/>
      <c r="W17" s="52"/>
      <c r="X17" s="52"/>
      <c r="Y17" s="52"/>
      <c r="Z17" s="52"/>
      <c r="AA17" s="52"/>
      <c r="AB17" s="52"/>
      <c r="AC17" s="52"/>
      <c r="AD17" s="52"/>
      <c r="AE17" s="50" t="s">
        <v>860</v>
      </c>
    </row>
    <row r="18" spans="1:31" s="40" customFormat="1" ht="39" hidden="1" thickBot="1">
      <c r="A18" s="53" t="s">
        <v>377</v>
      </c>
      <c r="B18" s="50" t="s">
        <v>886</v>
      </c>
      <c r="C18" s="50" t="s">
        <v>887</v>
      </c>
      <c r="D18" s="53" t="s">
        <v>65</v>
      </c>
      <c r="E18" s="53" t="s">
        <v>73</v>
      </c>
      <c r="F18" s="54">
        <v>1</v>
      </c>
      <c r="G18" s="83"/>
      <c r="H18" s="83"/>
      <c r="I18" s="52"/>
      <c r="J18" s="52"/>
      <c r="K18" s="52">
        <v>1</v>
      </c>
      <c r="L18" s="52">
        <v>1</v>
      </c>
      <c r="M18" s="52"/>
      <c r="N18" s="52"/>
      <c r="O18" s="52"/>
      <c r="P18" s="52"/>
      <c r="Q18" s="52">
        <v>1</v>
      </c>
      <c r="R18" s="52"/>
      <c r="S18" s="52"/>
      <c r="T18" s="52"/>
      <c r="U18" s="52"/>
      <c r="V18" s="52"/>
      <c r="W18" s="52">
        <v>1</v>
      </c>
      <c r="X18" s="52"/>
      <c r="Y18" s="52"/>
      <c r="Z18" s="52"/>
      <c r="AA18" s="52"/>
      <c r="AB18" s="52"/>
      <c r="AC18" s="52">
        <v>1</v>
      </c>
      <c r="AD18" s="52"/>
      <c r="AE18" s="50" t="s">
        <v>860</v>
      </c>
    </row>
    <row r="19" spans="1:31" s="40" customFormat="1" ht="58" hidden="1" thickBot="1">
      <c r="A19" s="53" t="s">
        <v>377</v>
      </c>
      <c r="B19" s="50" t="s">
        <v>888</v>
      </c>
      <c r="C19" s="50" t="s">
        <v>889</v>
      </c>
      <c r="D19" s="53" t="s">
        <v>65</v>
      </c>
      <c r="E19" s="53" t="s">
        <v>890</v>
      </c>
      <c r="F19" s="54">
        <v>1</v>
      </c>
      <c r="G19" s="83"/>
      <c r="H19" s="83"/>
      <c r="I19" s="52"/>
      <c r="J19" s="52"/>
      <c r="K19" s="52">
        <v>1</v>
      </c>
      <c r="L19" s="52"/>
      <c r="M19" s="52"/>
      <c r="N19" s="52"/>
      <c r="O19" s="52"/>
      <c r="P19" s="52"/>
      <c r="Q19" s="52">
        <v>1</v>
      </c>
      <c r="R19" s="52"/>
      <c r="S19" s="52"/>
      <c r="T19" s="52"/>
      <c r="U19" s="52"/>
      <c r="V19" s="52"/>
      <c r="W19" s="52">
        <v>1</v>
      </c>
      <c r="X19" s="52"/>
      <c r="Y19" s="52"/>
      <c r="Z19" s="52"/>
      <c r="AA19" s="52"/>
      <c r="AB19" s="52"/>
      <c r="AC19" s="52"/>
      <c r="AD19" s="52"/>
      <c r="AE19" s="50" t="s">
        <v>867</v>
      </c>
    </row>
    <row r="20" spans="1:31" s="40" customFormat="1" ht="77" hidden="1" thickBot="1">
      <c r="A20" s="53" t="s">
        <v>377</v>
      </c>
      <c r="B20" s="50" t="s">
        <v>891</v>
      </c>
      <c r="C20" s="50" t="s">
        <v>892</v>
      </c>
      <c r="D20" s="53" t="s">
        <v>65</v>
      </c>
      <c r="E20" s="53" t="s">
        <v>893</v>
      </c>
      <c r="F20" s="54">
        <v>1</v>
      </c>
      <c r="G20" s="83"/>
      <c r="H20" s="83"/>
      <c r="I20" s="52"/>
      <c r="J20" s="52"/>
      <c r="K20" s="52">
        <v>1</v>
      </c>
      <c r="L20" s="52">
        <v>1</v>
      </c>
      <c r="M20" s="52"/>
      <c r="N20" s="52"/>
      <c r="O20" s="52"/>
      <c r="P20" s="52"/>
      <c r="Q20" s="52">
        <v>1</v>
      </c>
      <c r="R20" s="52"/>
      <c r="S20" s="52"/>
      <c r="T20" s="52"/>
      <c r="U20" s="52">
        <v>1</v>
      </c>
      <c r="V20" s="52"/>
      <c r="W20" s="52"/>
      <c r="X20" s="52"/>
      <c r="Y20" s="52"/>
      <c r="Z20" s="52"/>
      <c r="AA20" s="52">
        <v>1</v>
      </c>
      <c r="AB20" s="52"/>
      <c r="AC20" s="52"/>
      <c r="AD20" s="52"/>
      <c r="AE20" s="50" t="s">
        <v>867</v>
      </c>
    </row>
    <row r="21" spans="1:31" s="40" customFormat="1" ht="77" hidden="1" thickBot="1">
      <c r="A21" s="53" t="s">
        <v>883</v>
      </c>
      <c r="B21" s="50" t="s">
        <v>880</v>
      </c>
      <c r="C21" s="50" t="s">
        <v>894</v>
      </c>
      <c r="D21" s="53" t="s">
        <v>65</v>
      </c>
      <c r="E21" s="53" t="s">
        <v>881</v>
      </c>
      <c r="F21" s="54">
        <v>1</v>
      </c>
      <c r="G21" s="83">
        <v>1</v>
      </c>
      <c r="H21" s="83">
        <v>1</v>
      </c>
      <c r="I21" s="52">
        <v>1</v>
      </c>
      <c r="J21" s="52">
        <v>1</v>
      </c>
      <c r="K21" s="52">
        <v>1</v>
      </c>
      <c r="L21" s="52">
        <v>1</v>
      </c>
      <c r="M21" s="52">
        <v>1</v>
      </c>
      <c r="N21" s="52">
        <v>0</v>
      </c>
      <c r="O21" s="52">
        <v>1</v>
      </c>
      <c r="P21" s="52"/>
      <c r="Q21" s="52">
        <v>1</v>
      </c>
      <c r="R21" s="52"/>
      <c r="S21" s="52">
        <v>1</v>
      </c>
      <c r="T21" s="52"/>
      <c r="U21" s="52">
        <v>1</v>
      </c>
      <c r="V21" s="52"/>
      <c r="W21" s="52">
        <v>1</v>
      </c>
      <c r="X21" s="52"/>
      <c r="Y21" s="52">
        <v>1</v>
      </c>
      <c r="Z21" s="52"/>
      <c r="AA21" s="52">
        <v>1</v>
      </c>
      <c r="AB21" s="52"/>
      <c r="AC21" s="52">
        <v>1</v>
      </c>
      <c r="AD21" s="52"/>
      <c r="AE21" s="50" t="s">
        <v>867</v>
      </c>
    </row>
    <row r="22" spans="1:31" s="40" customFormat="1" ht="58" hidden="1" thickBot="1">
      <c r="A22" s="53" t="s">
        <v>377</v>
      </c>
      <c r="B22" s="50" t="s">
        <v>895</v>
      </c>
      <c r="C22" s="50" t="s">
        <v>896</v>
      </c>
      <c r="D22" s="53" t="s">
        <v>65</v>
      </c>
      <c r="E22" s="53" t="s">
        <v>73</v>
      </c>
      <c r="F22" s="54">
        <v>1</v>
      </c>
      <c r="G22" s="83"/>
      <c r="H22" s="83"/>
      <c r="I22" s="52"/>
      <c r="J22" s="52"/>
      <c r="K22" s="52">
        <v>1</v>
      </c>
      <c r="L22" s="52">
        <v>1</v>
      </c>
      <c r="M22" s="52"/>
      <c r="N22" s="52"/>
      <c r="O22" s="52"/>
      <c r="P22" s="52"/>
      <c r="Q22" s="52">
        <v>1</v>
      </c>
      <c r="R22" s="52"/>
      <c r="S22" s="52"/>
      <c r="T22" s="52"/>
      <c r="U22" s="52"/>
      <c r="V22" s="52"/>
      <c r="W22" s="52">
        <v>1</v>
      </c>
      <c r="X22" s="52"/>
      <c r="Y22" s="52"/>
      <c r="Z22" s="52"/>
      <c r="AA22" s="52"/>
      <c r="AB22" s="52"/>
      <c r="AC22" s="52">
        <v>1</v>
      </c>
      <c r="AD22" s="52"/>
      <c r="AE22" s="50" t="s">
        <v>867</v>
      </c>
    </row>
    <row r="23" spans="1:31" s="40" customFormat="1" ht="77" hidden="1" thickBot="1">
      <c r="A23" s="53" t="s">
        <v>883</v>
      </c>
      <c r="B23" s="50" t="s">
        <v>897</v>
      </c>
      <c r="C23" s="50" t="s">
        <v>898</v>
      </c>
      <c r="D23" s="53" t="s">
        <v>65</v>
      </c>
      <c r="E23" s="53" t="s">
        <v>899</v>
      </c>
      <c r="F23" s="54"/>
      <c r="G23" s="83"/>
      <c r="H23" s="83"/>
      <c r="I23" s="52">
        <v>1</v>
      </c>
      <c r="J23" s="52">
        <v>1</v>
      </c>
      <c r="K23" s="52"/>
      <c r="L23" s="52"/>
      <c r="M23" s="52">
        <v>1</v>
      </c>
      <c r="N23" s="52">
        <v>1</v>
      </c>
      <c r="O23" s="52"/>
      <c r="P23" s="52"/>
      <c r="Q23" s="52">
        <v>1</v>
      </c>
      <c r="R23" s="52"/>
      <c r="S23" s="52"/>
      <c r="T23" s="52"/>
      <c r="U23" s="52"/>
      <c r="V23" s="52"/>
      <c r="W23" s="52"/>
      <c r="X23" s="52"/>
      <c r="Y23" s="52">
        <v>1</v>
      </c>
      <c r="Z23" s="52"/>
      <c r="AA23" s="52"/>
      <c r="AB23" s="52"/>
      <c r="AC23" s="52"/>
      <c r="AD23" s="52"/>
      <c r="AE23" s="50" t="s">
        <v>879</v>
      </c>
    </row>
    <row r="24" spans="1:31" s="40" customFormat="1" ht="39" hidden="1" thickBot="1">
      <c r="A24" s="53" t="s">
        <v>377</v>
      </c>
      <c r="B24" s="50" t="s">
        <v>900</v>
      </c>
      <c r="C24" s="50" t="s">
        <v>901</v>
      </c>
      <c r="D24" s="53" t="s">
        <v>65</v>
      </c>
      <c r="E24" s="53" t="s">
        <v>902</v>
      </c>
      <c r="F24" s="54">
        <v>1</v>
      </c>
      <c r="G24" s="83"/>
      <c r="H24" s="83"/>
      <c r="I24" s="52"/>
      <c r="J24" s="52"/>
      <c r="K24" s="52"/>
      <c r="L24" s="52"/>
      <c r="M24" s="52">
        <v>1</v>
      </c>
      <c r="N24" s="52">
        <v>1</v>
      </c>
      <c r="O24" s="52"/>
      <c r="P24" s="52"/>
      <c r="Q24" s="52"/>
      <c r="R24" s="52"/>
      <c r="S24" s="52"/>
      <c r="T24" s="52"/>
      <c r="U24" s="52">
        <v>1</v>
      </c>
      <c r="V24" s="52"/>
      <c r="W24" s="52"/>
      <c r="X24" s="52"/>
      <c r="Y24" s="52"/>
      <c r="Z24" s="52"/>
      <c r="AA24" s="52"/>
      <c r="AB24" s="52"/>
      <c r="AC24" s="52"/>
      <c r="AD24" s="52"/>
      <c r="AE24" s="50" t="s">
        <v>879</v>
      </c>
    </row>
    <row r="25" spans="1:31" s="40" customFormat="1" ht="39" hidden="1" thickBot="1">
      <c r="A25" s="53" t="s">
        <v>883</v>
      </c>
      <c r="B25" s="50" t="s">
        <v>903</v>
      </c>
      <c r="C25" s="50" t="s">
        <v>904</v>
      </c>
      <c r="D25" s="53" t="s">
        <v>65</v>
      </c>
      <c r="E25" s="53" t="s">
        <v>881</v>
      </c>
      <c r="F25" s="54">
        <v>1</v>
      </c>
      <c r="G25" s="83">
        <v>1</v>
      </c>
      <c r="H25" s="83">
        <v>1</v>
      </c>
      <c r="I25" s="52">
        <v>1</v>
      </c>
      <c r="J25" s="52">
        <v>1</v>
      </c>
      <c r="K25" s="52">
        <v>1</v>
      </c>
      <c r="L25" s="52">
        <v>1</v>
      </c>
      <c r="M25" s="52">
        <v>1</v>
      </c>
      <c r="N25" s="52">
        <v>1</v>
      </c>
      <c r="O25" s="52">
        <v>1</v>
      </c>
      <c r="P25" s="52"/>
      <c r="Q25" s="52">
        <v>1</v>
      </c>
      <c r="R25" s="52"/>
      <c r="S25" s="52">
        <v>1</v>
      </c>
      <c r="T25" s="52"/>
      <c r="U25" s="52">
        <v>1</v>
      </c>
      <c r="V25" s="52"/>
      <c r="W25" s="52">
        <v>1</v>
      </c>
      <c r="X25" s="52"/>
      <c r="Y25" s="52">
        <v>1</v>
      </c>
      <c r="Z25" s="52"/>
      <c r="AA25" s="52">
        <v>1</v>
      </c>
      <c r="AB25" s="52"/>
      <c r="AC25" s="52">
        <v>1</v>
      </c>
      <c r="AD25" s="52"/>
      <c r="AE25" s="50" t="s">
        <v>882</v>
      </c>
    </row>
    <row r="26" spans="1:31" s="40" customFormat="1" ht="21" hidden="1" thickBot="1">
      <c r="A26" s="53" t="s">
        <v>377</v>
      </c>
      <c r="B26" s="50" t="s">
        <v>905</v>
      </c>
      <c r="C26" s="50" t="s">
        <v>906</v>
      </c>
      <c r="D26" s="53" t="s">
        <v>65</v>
      </c>
      <c r="E26" s="53" t="s">
        <v>73</v>
      </c>
      <c r="F26" s="54">
        <v>1</v>
      </c>
      <c r="G26" s="83"/>
      <c r="H26" s="83"/>
      <c r="I26" s="52"/>
      <c r="J26" s="52"/>
      <c r="K26" s="52">
        <v>1</v>
      </c>
      <c r="L26" s="52"/>
      <c r="M26" s="52"/>
      <c r="N26" s="52"/>
      <c r="O26" s="52"/>
      <c r="P26" s="52"/>
      <c r="Q26" s="52">
        <v>1</v>
      </c>
      <c r="R26" s="52"/>
      <c r="S26" s="52"/>
      <c r="T26" s="52"/>
      <c r="U26" s="52"/>
      <c r="V26" s="52"/>
      <c r="W26" s="52">
        <v>1</v>
      </c>
      <c r="X26" s="52"/>
      <c r="Y26" s="52"/>
      <c r="Z26" s="52"/>
      <c r="AA26" s="52"/>
      <c r="AB26" s="52"/>
      <c r="AC26" s="52">
        <v>1</v>
      </c>
      <c r="AD26" s="52"/>
      <c r="AE26" s="50" t="s">
        <v>882</v>
      </c>
    </row>
    <row r="27" spans="1:31" s="40" customFormat="1" ht="21" hidden="1" thickBot="1">
      <c r="A27" s="53" t="s">
        <v>377</v>
      </c>
      <c r="B27" s="50" t="s">
        <v>905</v>
      </c>
      <c r="C27" s="50" t="s">
        <v>907</v>
      </c>
      <c r="D27" s="53" t="s">
        <v>65</v>
      </c>
      <c r="E27" s="53" t="s">
        <v>73</v>
      </c>
      <c r="F27" s="54">
        <v>1</v>
      </c>
      <c r="G27" s="83"/>
      <c r="H27" s="83"/>
      <c r="I27" s="52"/>
      <c r="J27" s="52"/>
      <c r="K27" s="52">
        <v>1</v>
      </c>
      <c r="L27" s="52"/>
      <c r="M27" s="52"/>
      <c r="N27" s="52"/>
      <c r="O27" s="52"/>
      <c r="P27" s="52"/>
      <c r="Q27" s="52">
        <v>1</v>
      </c>
      <c r="R27" s="52"/>
      <c r="S27" s="52"/>
      <c r="T27" s="52"/>
      <c r="U27" s="52"/>
      <c r="V27" s="52"/>
      <c r="W27" s="52">
        <v>1</v>
      </c>
      <c r="X27" s="52"/>
      <c r="Y27" s="52"/>
      <c r="Z27" s="52"/>
      <c r="AA27" s="52"/>
      <c r="AB27" s="52"/>
      <c r="AC27" s="52">
        <v>1</v>
      </c>
      <c r="AD27" s="52"/>
      <c r="AE27" s="50" t="s">
        <v>882</v>
      </c>
    </row>
    <row r="28" spans="1:31" s="40" customFormat="1" ht="21" hidden="1" thickBot="1">
      <c r="A28" s="53" t="s">
        <v>377</v>
      </c>
      <c r="B28" s="50" t="s">
        <v>905</v>
      </c>
      <c r="C28" s="50" t="s">
        <v>908</v>
      </c>
      <c r="D28" s="53" t="s">
        <v>65</v>
      </c>
      <c r="E28" s="53" t="s">
        <v>73</v>
      </c>
      <c r="F28" s="54">
        <v>1</v>
      </c>
      <c r="G28" s="83"/>
      <c r="H28" s="83"/>
      <c r="I28" s="52"/>
      <c r="J28" s="52"/>
      <c r="K28" s="52">
        <v>1</v>
      </c>
      <c r="L28" s="52"/>
      <c r="M28" s="52"/>
      <c r="N28" s="52"/>
      <c r="O28" s="52"/>
      <c r="P28" s="52"/>
      <c r="Q28" s="52">
        <v>1</v>
      </c>
      <c r="R28" s="52"/>
      <c r="S28" s="52"/>
      <c r="T28" s="52"/>
      <c r="U28" s="52"/>
      <c r="V28" s="52"/>
      <c r="W28" s="52">
        <v>1</v>
      </c>
      <c r="X28" s="52"/>
      <c r="Y28" s="52"/>
      <c r="Z28" s="52"/>
      <c r="AA28" s="52"/>
      <c r="AB28" s="52"/>
      <c r="AC28" s="52">
        <v>1</v>
      </c>
      <c r="AD28" s="52"/>
      <c r="AE28" s="50" t="s">
        <v>882</v>
      </c>
    </row>
    <row r="29" spans="1:31" s="40" customFormat="1" ht="21" hidden="1" thickBot="1">
      <c r="A29" s="53" t="s">
        <v>377</v>
      </c>
      <c r="B29" s="50" t="s">
        <v>905</v>
      </c>
      <c r="C29" s="50" t="s">
        <v>909</v>
      </c>
      <c r="D29" s="53" t="s">
        <v>65</v>
      </c>
      <c r="E29" s="53" t="s">
        <v>73</v>
      </c>
      <c r="F29" s="54">
        <v>1</v>
      </c>
      <c r="G29" s="83"/>
      <c r="H29" s="83"/>
      <c r="I29" s="52"/>
      <c r="J29" s="52"/>
      <c r="K29" s="52">
        <v>1</v>
      </c>
      <c r="L29" s="52"/>
      <c r="M29" s="52"/>
      <c r="N29" s="52"/>
      <c r="O29" s="52"/>
      <c r="P29" s="52"/>
      <c r="Q29" s="52">
        <v>1</v>
      </c>
      <c r="R29" s="52"/>
      <c r="S29" s="52"/>
      <c r="T29" s="52"/>
      <c r="U29" s="52"/>
      <c r="V29" s="52"/>
      <c r="W29" s="52">
        <v>1</v>
      </c>
      <c r="X29" s="52"/>
      <c r="Y29" s="52"/>
      <c r="Z29" s="52"/>
      <c r="AA29" s="52"/>
      <c r="AB29" s="52"/>
      <c r="AC29" s="52">
        <v>1</v>
      </c>
      <c r="AD29" s="52"/>
      <c r="AE29" s="50" t="s">
        <v>882</v>
      </c>
    </row>
    <row r="30" spans="1:31" s="40" customFormat="1" ht="21" hidden="1" thickBot="1">
      <c r="A30" s="53" t="s">
        <v>377</v>
      </c>
      <c r="B30" s="50" t="s">
        <v>905</v>
      </c>
      <c r="C30" s="50" t="s">
        <v>910</v>
      </c>
      <c r="D30" s="53" t="s">
        <v>65</v>
      </c>
      <c r="E30" s="53" t="s">
        <v>73</v>
      </c>
      <c r="F30" s="54">
        <v>1</v>
      </c>
      <c r="G30" s="83"/>
      <c r="H30" s="83"/>
      <c r="I30" s="52"/>
      <c r="J30" s="52"/>
      <c r="K30" s="52">
        <v>1</v>
      </c>
      <c r="L30" s="52"/>
      <c r="M30" s="52"/>
      <c r="N30" s="52"/>
      <c r="O30" s="52"/>
      <c r="P30" s="52"/>
      <c r="Q30" s="52">
        <v>1</v>
      </c>
      <c r="R30" s="52"/>
      <c r="S30" s="52"/>
      <c r="T30" s="52"/>
      <c r="U30" s="52"/>
      <c r="V30" s="52"/>
      <c r="W30" s="52">
        <v>1</v>
      </c>
      <c r="X30" s="52"/>
      <c r="Y30" s="52"/>
      <c r="Z30" s="52"/>
      <c r="AA30" s="52"/>
      <c r="AB30" s="52"/>
      <c r="AC30" s="52">
        <v>1</v>
      </c>
      <c r="AD30" s="52"/>
      <c r="AE30" s="50" t="s">
        <v>882</v>
      </c>
    </row>
    <row r="31" spans="1:31" s="40" customFormat="1" ht="21" hidden="1" thickBot="1">
      <c r="A31" s="53" t="s">
        <v>377</v>
      </c>
      <c r="B31" s="50" t="s">
        <v>905</v>
      </c>
      <c r="C31" s="50" t="s">
        <v>911</v>
      </c>
      <c r="D31" s="53" t="s">
        <v>65</v>
      </c>
      <c r="E31" s="53" t="s">
        <v>73</v>
      </c>
      <c r="F31" s="54">
        <v>1</v>
      </c>
      <c r="G31" s="83"/>
      <c r="H31" s="83"/>
      <c r="I31" s="52"/>
      <c r="J31" s="52"/>
      <c r="K31" s="52">
        <v>1</v>
      </c>
      <c r="L31" s="52"/>
      <c r="M31" s="52"/>
      <c r="N31" s="52"/>
      <c r="O31" s="52"/>
      <c r="P31" s="52"/>
      <c r="Q31" s="52">
        <v>1</v>
      </c>
      <c r="R31" s="52"/>
      <c r="S31" s="52"/>
      <c r="T31" s="52"/>
      <c r="U31" s="52"/>
      <c r="V31" s="52"/>
      <c r="W31" s="52">
        <v>1</v>
      </c>
      <c r="X31" s="52"/>
      <c r="Y31" s="52"/>
      <c r="Z31" s="52"/>
      <c r="AA31" s="52"/>
      <c r="AB31" s="52"/>
      <c r="AC31" s="52">
        <v>1</v>
      </c>
      <c r="AD31" s="52"/>
      <c r="AE31" s="50" t="s">
        <v>882</v>
      </c>
    </row>
    <row r="32" spans="1:31" s="40" customFormat="1" ht="39" hidden="1" thickBot="1">
      <c r="A32" s="53" t="s">
        <v>377</v>
      </c>
      <c r="B32" s="50" t="s">
        <v>905</v>
      </c>
      <c r="C32" s="50" t="s">
        <v>912</v>
      </c>
      <c r="D32" s="53" t="s">
        <v>65</v>
      </c>
      <c r="E32" s="53" t="s">
        <v>73</v>
      </c>
      <c r="F32" s="54">
        <v>1</v>
      </c>
      <c r="G32" s="83"/>
      <c r="H32" s="83"/>
      <c r="I32" s="52"/>
      <c r="J32" s="52"/>
      <c r="K32" s="52">
        <v>1</v>
      </c>
      <c r="L32" s="52"/>
      <c r="M32" s="52"/>
      <c r="N32" s="52"/>
      <c r="O32" s="52"/>
      <c r="P32" s="52"/>
      <c r="Q32" s="52">
        <v>1</v>
      </c>
      <c r="R32" s="52"/>
      <c r="S32" s="52"/>
      <c r="T32" s="52"/>
      <c r="U32" s="52"/>
      <c r="V32" s="52"/>
      <c r="W32" s="52">
        <v>1</v>
      </c>
      <c r="X32" s="52"/>
      <c r="Y32" s="52"/>
      <c r="Z32" s="52"/>
      <c r="AA32" s="52"/>
      <c r="AB32" s="52"/>
      <c r="AC32" s="52">
        <v>1</v>
      </c>
      <c r="AD32" s="52"/>
      <c r="AE32" s="50" t="s">
        <v>882</v>
      </c>
    </row>
    <row r="33" spans="1:31" s="40" customFormat="1" ht="21" hidden="1" thickBot="1">
      <c r="A33" s="53" t="s">
        <v>377</v>
      </c>
      <c r="B33" s="50" t="s">
        <v>905</v>
      </c>
      <c r="C33" s="50" t="s">
        <v>913</v>
      </c>
      <c r="D33" s="53" t="s">
        <v>65</v>
      </c>
      <c r="E33" s="53" t="s">
        <v>73</v>
      </c>
      <c r="F33" s="54">
        <v>1</v>
      </c>
      <c r="G33" s="83"/>
      <c r="H33" s="83"/>
      <c r="I33" s="52"/>
      <c r="J33" s="52"/>
      <c r="K33" s="52">
        <v>1</v>
      </c>
      <c r="L33" s="52"/>
      <c r="M33" s="52"/>
      <c r="N33" s="52"/>
      <c r="O33" s="52"/>
      <c r="P33" s="52"/>
      <c r="Q33" s="52">
        <v>1</v>
      </c>
      <c r="R33" s="52"/>
      <c r="S33" s="52"/>
      <c r="T33" s="52"/>
      <c r="U33" s="52"/>
      <c r="V33" s="52"/>
      <c r="W33" s="52">
        <v>1</v>
      </c>
      <c r="X33" s="52"/>
      <c r="Y33" s="52"/>
      <c r="Z33" s="52"/>
      <c r="AA33" s="52"/>
      <c r="AB33" s="52"/>
      <c r="AC33" s="52">
        <v>1</v>
      </c>
      <c r="AD33" s="52"/>
      <c r="AE33" s="50" t="s">
        <v>882</v>
      </c>
    </row>
    <row r="34" spans="1:31" s="40" customFormat="1" ht="21" hidden="1" thickBot="1">
      <c r="A34" s="53" t="s">
        <v>377</v>
      </c>
      <c r="B34" s="50" t="s">
        <v>905</v>
      </c>
      <c r="C34" s="50" t="s">
        <v>914</v>
      </c>
      <c r="D34" s="53" t="s">
        <v>65</v>
      </c>
      <c r="E34" s="53" t="s">
        <v>73</v>
      </c>
      <c r="F34" s="54">
        <v>1</v>
      </c>
      <c r="G34" s="83"/>
      <c r="H34" s="83"/>
      <c r="I34" s="52"/>
      <c r="J34" s="52"/>
      <c r="K34" s="52">
        <v>1</v>
      </c>
      <c r="L34" s="52"/>
      <c r="M34" s="52"/>
      <c r="N34" s="52"/>
      <c r="O34" s="52"/>
      <c r="P34" s="52"/>
      <c r="Q34" s="52">
        <v>1</v>
      </c>
      <c r="R34" s="52"/>
      <c r="S34" s="52"/>
      <c r="T34" s="52"/>
      <c r="U34" s="52"/>
      <c r="V34" s="52"/>
      <c r="W34" s="52">
        <v>1</v>
      </c>
      <c r="X34" s="52"/>
      <c r="Y34" s="52"/>
      <c r="Z34" s="52"/>
      <c r="AA34" s="52"/>
      <c r="AB34" s="52"/>
      <c r="AC34" s="52">
        <v>1</v>
      </c>
      <c r="AD34" s="52"/>
      <c r="AE34" s="50" t="s">
        <v>882</v>
      </c>
    </row>
    <row r="35" spans="1:31" s="40" customFormat="1" ht="21" hidden="1" thickBot="1">
      <c r="A35" s="53" t="s">
        <v>377</v>
      </c>
      <c r="B35" s="50" t="s">
        <v>905</v>
      </c>
      <c r="C35" s="50" t="s">
        <v>915</v>
      </c>
      <c r="D35" s="53" t="s">
        <v>65</v>
      </c>
      <c r="E35" s="53" t="s">
        <v>73</v>
      </c>
      <c r="F35" s="54">
        <v>1</v>
      </c>
      <c r="G35" s="83"/>
      <c r="H35" s="83"/>
      <c r="I35" s="52"/>
      <c r="J35" s="52"/>
      <c r="K35" s="52">
        <v>1</v>
      </c>
      <c r="L35" s="52"/>
      <c r="M35" s="52"/>
      <c r="N35" s="52"/>
      <c r="O35" s="52"/>
      <c r="P35" s="52"/>
      <c r="Q35" s="52">
        <v>1</v>
      </c>
      <c r="R35" s="52"/>
      <c r="S35" s="52"/>
      <c r="T35" s="52"/>
      <c r="U35" s="52"/>
      <c r="V35" s="52"/>
      <c r="W35" s="52">
        <v>1</v>
      </c>
      <c r="X35" s="52"/>
      <c r="Y35" s="52"/>
      <c r="Z35" s="52"/>
      <c r="AA35" s="52"/>
      <c r="AB35" s="52"/>
      <c r="AC35" s="52">
        <v>1</v>
      </c>
      <c r="AD35" s="52"/>
      <c r="AE35" s="50" t="s">
        <v>882</v>
      </c>
    </row>
    <row r="36" spans="1:31" s="40" customFormat="1" ht="21" hidden="1" thickBot="1">
      <c r="A36" s="53" t="s">
        <v>377</v>
      </c>
      <c r="B36" s="50" t="s">
        <v>905</v>
      </c>
      <c r="C36" s="50" t="s">
        <v>916</v>
      </c>
      <c r="D36" s="53" t="s">
        <v>65</v>
      </c>
      <c r="E36" s="53" t="s">
        <v>73</v>
      </c>
      <c r="F36" s="54">
        <v>1</v>
      </c>
      <c r="G36" s="83"/>
      <c r="H36" s="83"/>
      <c r="I36" s="52"/>
      <c r="J36" s="52"/>
      <c r="K36" s="52">
        <v>1</v>
      </c>
      <c r="L36" s="52"/>
      <c r="M36" s="52"/>
      <c r="N36" s="52"/>
      <c r="O36" s="52"/>
      <c r="P36" s="52"/>
      <c r="Q36" s="52">
        <v>1</v>
      </c>
      <c r="R36" s="52"/>
      <c r="S36" s="52"/>
      <c r="T36" s="52"/>
      <c r="U36" s="52"/>
      <c r="V36" s="52"/>
      <c r="W36" s="52">
        <v>1</v>
      </c>
      <c r="X36" s="52"/>
      <c r="Y36" s="52"/>
      <c r="Z36" s="52"/>
      <c r="AA36" s="52"/>
      <c r="AB36" s="52"/>
      <c r="AC36" s="52">
        <v>1</v>
      </c>
      <c r="AD36" s="52"/>
      <c r="AE36" s="50" t="s">
        <v>882</v>
      </c>
    </row>
    <row r="37" spans="1:31" s="40" customFormat="1" ht="21" hidden="1" thickBot="1">
      <c r="A37" s="53" t="s">
        <v>377</v>
      </c>
      <c r="B37" s="50" t="s">
        <v>905</v>
      </c>
      <c r="C37" s="50" t="s">
        <v>917</v>
      </c>
      <c r="D37" s="53" t="s">
        <v>65</v>
      </c>
      <c r="E37" s="53" t="s">
        <v>73</v>
      </c>
      <c r="F37" s="54">
        <v>1</v>
      </c>
      <c r="G37" s="83"/>
      <c r="H37" s="83"/>
      <c r="I37" s="52"/>
      <c r="J37" s="52"/>
      <c r="K37" s="52">
        <v>1</v>
      </c>
      <c r="L37" s="52"/>
      <c r="M37" s="52"/>
      <c r="N37" s="52"/>
      <c r="O37" s="52"/>
      <c r="P37" s="52"/>
      <c r="Q37" s="52">
        <v>1</v>
      </c>
      <c r="R37" s="52"/>
      <c r="S37" s="52"/>
      <c r="T37" s="52"/>
      <c r="U37" s="52"/>
      <c r="V37" s="52"/>
      <c r="W37" s="52">
        <v>1</v>
      </c>
      <c r="X37" s="52"/>
      <c r="Y37" s="52"/>
      <c r="Z37" s="52"/>
      <c r="AA37" s="52"/>
      <c r="AB37" s="52"/>
      <c r="AC37" s="52">
        <v>1</v>
      </c>
      <c r="AD37" s="52"/>
      <c r="AE37" s="50" t="s">
        <v>882</v>
      </c>
    </row>
    <row r="38" spans="1:31" s="40" customFormat="1" ht="21" hidden="1" thickBot="1">
      <c r="A38" s="53" t="s">
        <v>377</v>
      </c>
      <c r="B38" s="50" t="s">
        <v>905</v>
      </c>
      <c r="C38" s="50" t="s">
        <v>918</v>
      </c>
      <c r="D38" s="53" t="s">
        <v>65</v>
      </c>
      <c r="E38" s="53" t="s">
        <v>73</v>
      </c>
      <c r="F38" s="54">
        <v>1</v>
      </c>
      <c r="G38" s="83"/>
      <c r="H38" s="83"/>
      <c r="I38" s="52"/>
      <c r="J38" s="52"/>
      <c r="K38" s="52">
        <v>1</v>
      </c>
      <c r="L38" s="52"/>
      <c r="M38" s="52"/>
      <c r="N38" s="52"/>
      <c r="O38" s="52"/>
      <c r="P38" s="52"/>
      <c r="Q38" s="52">
        <v>1</v>
      </c>
      <c r="R38" s="52"/>
      <c r="S38" s="52"/>
      <c r="T38" s="52"/>
      <c r="U38" s="52"/>
      <c r="V38" s="52"/>
      <c r="W38" s="52">
        <v>1</v>
      </c>
      <c r="X38" s="52"/>
      <c r="Y38" s="52"/>
      <c r="Z38" s="52"/>
      <c r="AA38" s="52"/>
      <c r="AB38" s="52"/>
      <c r="AC38" s="52">
        <v>1</v>
      </c>
      <c r="AD38" s="52"/>
      <c r="AE38" s="50" t="s">
        <v>882</v>
      </c>
    </row>
    <row r="39" spans="1:31" s="40" customFormat="1" ht="21" hidden="1" thickBot="1">
      <c r="A39" s="53" t="s">
        <v>377</v>
      </c>
      <c r="B39" s="50" t="s">
        <v>905</v>
      </c>
      <c r="C39" s="50" t="s">
        <v>919</v>
      </c>
      <c r="D39" s="53" t="s">
        <v>65</v>
      </c>
      <c r="E39" s="53" t="s">
        <v>73</v>
      </c>
      <c r="F39" s="54">
        <v>1</v>
      </c>
      <c r="G39" s="83"/>
      <c r="H39" s="83"/>
      <c r="I39" s="52"/>
      <c r="J39" s="52"/>
      <c r="K39" s="52">
        <v>1</v>
      </c>
      <c r="L39" s="52"/>
      <c r="M39" s="52"/>
      <c r="N39" s="52"/>
      <c r="O39" s="52"/>
      <c r="P39" s="52"/>
      <c r="Q39" s="52">
        <v>1</v>
      </c>
      <c r="R39" s="52"/>
      <c r="S39" s="52"/>
      <c r="T39" s="52"/>
      <c r="U39" s="52"/>
      <c r="V39" s="52"/>
      <c r="W39" s="52">
        <v>1</v>
      </c>
      <c r="X39" s="52"/>
      <c r="Y39" s="52"/>
      <c r="Z39" s="52"/>
      <c r="AA39" s="52"/>
      <c r="AB39" s="52"/>
      <c r="AC39" s="52">
        <v>1</v>
      </c>
      <c r="AD39" s="52"/>
      <c r="AE39" s="50" t="s">
        <v>882</v>
      </c>
    </row>
    <row r="40" spans="1:31" s="40" customFormat="1" ht="21" hidden="1" thickBot="1">
      <c r="A40" s="53" t="s">
        <v>377</v>
      </c>
      <c r="B40" s="50" t="s">
        <v>905</v>
      </c>
      <c r="C40" s="50" t="s">
        <v>920</v>
      </c>
      <c r="D40" s="53" t="s">
        <v>65</v>
      </c>
      <c r="E40" s="53" t="s">
        <v>73</v>
      </c>
      <c r="F40" s="54">
        <v>1</v>
      </c>
      <c r="G40" s="83"/>
      <c r="H40" s="83"/>
      <c r="I40" s="52"/>
      <c r="J40" s="52"/>
      <c r="K40" s="52">
        <v>1</v>
      </c>
      <c r="L40" s="52"/>
      <c r="M40" s="52"/>
      <c r="N40" s="52"/>
      <c r="O40" s="52"/>
      <c r="P40" s="52"/>
      <c r="Q40" s="52">
        <v>1</v>
      </c>
      <c r="R40" s="52"/>
      <c r="S40" s="52"/>
      <c r="T40" s="52"/>
      <c r="U40" s="52"/>
      <c r="V40" s="52"/>
      <c r="W40" s="52">
        <v>1</v>
      </c>
      <c r="X40" s="52"/>
      <c r="Y40" s="52"/>
      <c r="Z40" s="52"/>
      <c r="AA40" s="52"/>
      <c r="AB40" s="52"/>
      <c r="AC40" s="52">
        <v>1</v>
      </c>
      <c r="AD40" s="52"/>
      <c r="AE40" s="50" t="s">
        <v>882</v>
      </c>
    </row>
    <row r="41" spans="1:31" s="40" customFormat="1" ht="21" thickBot="1">
      <c r="A41" s="53" t="s">
        <v>131</v>
      </c>
      <c r="B41" s="50" t="s">
        <v>1018</v>
      </c>
      <c r="C41" s="50" t="s">
        <v>921</v>
      </c>
      <c r="D41" s="53" t="s">
        <v>65</v>
      </c>
      <c r="E41" s="53" t="s">
        <v>71</v>
      </c>
      <c r="F41" s="54">
        <v>1</v>
      </c>
      <c r="G41" s="83">
        <v>1</v>
      </c>
      <c r="H41" s="83">
        <v>1</v>
      </c>
      <c r="I41" s="52">
        <v>1</v>
      </c>
      <c r="J41" s="52">
        <v>1</v>
      </c>
      <c r="K41" s="52">
        <v>1</v>
      </c>
      <c r="L41" s="52">
        <v>0.88</v>
      </c>
      <c r="M41" s="52">
        <v>1</v>
      </c>
      <c r="N41" s="52">
        <v>0.89</v>
      </c>
      <c r="O41" s="52">
        <v>1</v>
      </c>
      <c r="P41" s="52"/>
      <c r="Q41" s="52">
        <v>1</v>
      </c>
      <c r="R41" s="52"/>
      <c r="S41" s="52">
        <v>1</v>
      </c>
      <c r="T41" s="52"/>
      <c r="U41" s="52">
        <v>1</v>
      </c>
      <c r="V41" s="52"/>
      <c r="W41" s="52">
        <v>1</v>
      </c>
      <c r="X41" s="52"/>
      <c r="Y41" s="52">
        <v>1</v>
      </c>
      <c r="Z41" s="52"/>
      <c r="AA41" s="52">
        <v>1</v>
      </c>
      <c r="AB41" s="52"/>
      <c r="AC41" s="52">
        <v>1</v>
      </c>
      <c r="AD41" s="52"/>
      <c r="AE41" s="50" t="s">
        <v>879</v>
      </c>
    </row>
    <row r="42" spans="1:31" s="40" customFormat="1" ht="39" hidden="1" thickBot="1">
      <c r="A42" s="53" t="s">
        <v>923</v>
      </c>
      <c r="B42" s="50" t="s">
        <v>922</v>
      </c>
      <c r="C42" s="50" t="s">
        <v>924</v>
      </c>
      <c r="D42" s="53" t="s">
        <v>65</v>
      </c>
      <c r="E42" s="53" t="s">
        <v>71</v>
      </c>
      <c r="F42" s="54">
        <v>1</v>
      </c>
      <c r="G42" s="83">
        <v>1</v>
      </c>
      <c r="H42" s="83">
        <v>0.78</v>
      </c>
      <c r="I42" s="52">
        <v>1</v>
      </c>
      <c r="J42" s="52">
        <v>0.95</v>
      </c>
      <c r="K42" s="52">
        <v>1</v>
      </c>
      <c r="L42" s="52">
        <v>0.85</v>
      </c>
      <c r="M42" s="52">
        <v>1</v>
      </c>
      <c r="N42" s="52">
        <v>0.97</v>
      </c>
      <c r="O42" s="52">
        <v>1</v>
      </c>
      <c r="P42" s="52"/>
      <c r="Q42" s="52">
        <v>1</v>
      </c>
      <c r="R42" s="52"/>
      <c r="S42" s="52">
        <v>1</v>
      </c>
      <c r="T42" s="52"/>
      <c r="U42" s="52">
        <v>1</v>
      </c>
      <c r="V42" s="52"/>
      <c r="W42" s="52">
        <v>1</v>
      </c>
      <c r="X42" s="52"/>
      <c r="Y42" s="52">
        <v>1</v>
      </c>
      <c r="Z42" s="52"/>
      <c r="AA42" s="52">
        <v>1</v>
      </c>
      <c r="AB42" s="52"/>
      <c r="AC42" s="52">
        <v>1</v>
      </c>
      <c r="AD42" s="52"/>
      <c r="AE42" s="50" t="s">
        <v>882</v>
      </c>
    </row>
    <row r="43" spans="1:31" s="40" customFormat="1" ht="21" thickBot="1">
      <c r="A43" s="53" t="s">
        <v>1019</v>
      </c>
      <c r="B43" s="50" t="s">
        <v>1020</v>
      </c>
      <c r="C43" s="50" t="s">
        <v>921</v>
      </c>
      <c r="D43" s="53" t="s">
        <v>65</v>
      </c>
      <c r="E43" s="53" t="s">
        <v>71</v>
      </c>
      <c r="F43" s="54">
        <v>1</v>
      </c>
      <c r="G43" s="83">
        <v>1</v>
      </c>
      <c r="H43" s="83">
        <v>0.93</v>
      </c>
      <c r="I43" s="52">
        <v>1</v>
      </c>
      <c r="J43" s="52">
        <v>0.99</v>
      </c>
      <c r="K43" s="52">
        <v>1</v>
      </c>
      <c r="L43" s="52">
        <v>0.94</v>
      </c>
      <c r="M43" s="52">
        <v>1</v>
      </c>
      <c r="N43" s="52">
        <v>0.97</v>
      </c>
      <c r="O43" s="52">
        <v>1</v>
      </c>
      <c r="P43" s="52"/>
      <c r="Q43" s="52">
        <v>1</v>
      </c>
      <c r="R43" s="52"/>
      <c r="S43" s="52">
        <v>1</v>
      </c>
      <c r="T43" s="52"/>
      <c r="U43" s="52">
        <v>1</v>
      </c>
      <c r="V43" s="52"/>
      <c r="W43" s="52">
        <v>1</v>
      </c>
      <c r="X43" s="52"/>
      <c r="Y43" s="52">
        <v>1</v>
      </c>
      <c r="Z43" s="52"/>
      <c r="AA43" s="52">
        <v>1</v>
      </c>
      <c r="AB43" s="52"/>
      <c r="AC43" s="52">
        <v>1</v>
      </c>
      <c r="AD43" s="52"/>
      <c r="AE43" s="50" t="s">
        <v>879</v>
      </c>
    </row>
    <row r="44" spans="1:31" s="40" customFormat="1" ht="39" hidden="1" thickBot="1">
      <c r="A44" s="53" t="s">
        <v>925</v>
      </c>
      <c r="B44" s="50" t="s">
        <v>926</v>
      </c>
      <c r="C44" s="50" t="s">
        <v>927</v>
      </c>
      <c r="D44" s="53" t="s">
        <v>65</v>
      </c>
      <c r="E44" s="53" t="s">
        <v>78</v>
      </c>
      <c r="F44" s="54">
        <v>1</v>
      </c>
      <c r="G44" s="83"/>
      <c r="H44" s="83"/>
      <c r="I44" s="52"/>
      <c r="J44" s="52"/>
      <c r="K44" s="52"/>
      <c r="L44" s="52"/>
      <c r="M44" s="52"/>
      <c r="N44" s="52"/>
      <c r="O44" s="52"/>
      <c r="P44" s="52"/>
      <c r="Q44" s="52">
        <v>1</v>
      </c>
      <c r="R44" s="52"/>
      <c r="S44" s="52"/>
      <c r="T44" s="52"/>
      <c r="U44" s="52"/>
      <c r="V44" s="52"/>
      <c r="W44" s="52"/>
      <c r="X44" s="52"/>
      <c r="Y44" s="52"/>
      <c r="Z44" s="52"/>
      <c r="AA44" s="52"/>
      <c r="AB44" s="52"/>
      <c r="AC44" s="52">
        <v>1</v>
      </c>
      <c r="AD44" s="52"/>
      <c r="AE44" s="50" t="s">
        <v>867</v>
      </c>
    </row>
    <row r="45" spans="1:31" s="40" customFormat="1" ht="39" hidden="1" thickBot="1">
      <c r="A45" s="53" t="s">
        <v>165</v>
      </c>
      <c r="B45" s="50" t="s">
        <v>928</v>
      </c>
      <c r="C45" s="50" t="s">
        <v>929</v>
      </c>
      <c r="D45" s="53" t="s">
        <v>65</v>
      </c>
      <c r="E45" s="53" t="s">
        <v>167</v>
      </c>
      <c r="F45" s="54">
        <v>1</v>
      </c>
      <c r="G45" s="83"/>
      <c r="H45" s="83"/>
      <c r="I45" s="52"/>
      <c r="J45" s="52"/>
      <c r="K45" s="52"/>
      <c r="L45" s="52"/>
      <c r="M45" s="52"/>
      <c r="N45" s="52"/>
      <c r="O45" s="52"/>
      <c r="P45" s="52"/>
      <c r="Q45" s="52"/>
      <c r="R45" s="52"/>
      <c r="S45" s="52"/>
      <c r="T45" s="52"/>
      <c r="U45" s="52"/>
      <c r="V45" s="52"/>
      <c r="W45" s="52"/>
      <c r="X45" s="52"/>
      <c r="Y45" s="52"/>
      <c r="Z45" s="52"/>
      <c r="AA45" s="52"/>
      <c r="AB45" s="52"/>
      <c r="AC45" s="52">
        <v>1</v>
      </c>
      <c r="AD45" s="52"/>
      <c r="AE45" s="50" t="s">
        <v>879</v>
      </c>
    </row>
    <row r="46" spans="1:31" s="40" customFormat="1" ht="21" hidden="1" thickBot="1">
      <c r="A46" s="53" t="s">
        <v>165</v>
      </c>
      <c r="B46" s="50" t="s">
        <v>930</v>
      </c>
      <c r="C46" s="50" t="s">
        <v>931</v>
      </c>
      <c r="D46" s="53" t="s">
        <v>65</v>
      </c>
      <c r="E46" s="53" t="s">
        <v>859</v>
      </c>
      <c r="F46" s="54">
        <v>1</v>
      </c>
      <c r="G46" s="83"/>
      <c r="H46" s="83"/>
      <c r="I46" s="52"/>
      <c r="J46" s="52"/>
      <c r="K46" s="52"/>
      <c r="L46" s="52"/>
      <c r="M46" s="52"/>
      <c r="N46" s="52"/>
      <c r="O46" s="52"/>
      <c r="P46" s="52"/>
      <c r="Q46" s="52"/>
      <c r="R46" s="52"/>
      <c r="S46" s="52"/>
      <c r="T46" s="52"/>
      <c r="U46" s="52"/>
      <c r="V46" s="52"/>
      <c r="W46" s="52"/>
      <c r="X46" s="52"/>
      <c r="Y46" s="52"/>
      <c r="Z46" s="52"/>
      <c r="AA46" s="52">
        <v>1</v>
      </c>
      <c r="AB46" s="52"/>
      <c r="AC46" s="52"/>
      <c r="AD46" s="52"/>
      <c r="AE46" s="50" t="s">
        <v>879</v>
      </c>
    </row>
    <row r="47" spans="1:31" s="40" customFormat="1" ht="21" hidden="1" thickBot="1">
      <c r="A47" s="53" t="s">
        <v>165</v>
      </c>
      <c r="B47" s="50" t="s">
        <v>932</v>
      </c>
      <c r="C47" s="50" t="s">
        <v>933</v>
      </c>
      <c r="D47" s="53" t="s">
        <v>65</v>
      </c>
      <c r="E47" s="53" t="s">
        <v>73</v>
      </c>
      <c r="F47" s="54">
        <v>1</v>
      </c>
      <c r="G47" s="83"/>
      <c r="H47" s="83"/>
      <c r="I47" s="52"/>
      <c r="J47" s="52"/>
      <c r="K47" s="52">
        <v>1</v>
      </c>
      <c r="L47" s="52"/>
      <c r="M47" s="52"/>
      <c r="N47" s="52"/>
      <c r="O47" s="52"/>
      <c r="P47" s="52"/>
      <c r="Q47" s="52">
        <v>1</v>
      </c>
      <c r="R47" s="52"/>
      <c r="S47" s="52"/>
      <c r="T47" s="52"/>
      <c r="U47" s="52"/>
      <c r="V47" s="52"/>
      <c r="W47" s="52">
        <v>1</v>
      </c>
      <c r="X47" s="52"/>
      <c r="Y47" s="52"/>
      <c r="Z47" s="52"/>
      <c r="AA47" s="52"/>
      <c r="AB47" s="52"/>
      <c r="AC47" s="52">
        <v>1</v>
      </c>
      <c r="AD47" s="52"/>
      <c r="AE47" s="50" t="s">
        <v>882</v>
      </c>
    </row>
    <row r="48" spans="1:31" s="40" customFormat="1" ht="21" hidden="1" thickBot="1">
      <c r="A48" s="53" t="s">
        <v>165</v>
      </c>
      <c r="B48" s="50" t="s">
        <v>937</v>
      </c>
      <c r="C48" s="50" t="s">
        <v>934</v>
      </c>
      <c r="D48" s="53" t="s">
        <v>65</v>
      </c>
      <c r="E48" s="53" t="s">
        <v>73</v>
      </c>
      <c r="F48" s="54">
        <v>1</v>
      </c>
      <c r="G48" s="83"/>
      <c r="H48" s="83"/>
      <c r="I48" s="52"/>
      <c r="J48" s="52"/>
      <c r="K48" s="52">
        <v>1</v>
      </c>
      <c r="L48" s="52"/>
      <c r="M48" s="52"/>
      <c r="N48" s="52"/>
      <c r="O48" s="52"/>
      <c r="P48" s="52"/>
      <c r="Q48" s="52">
        <v>1</v>
      </c>
      <c r="R48" s="52"/>
      <c r="S48" s="52"/>
      <c r="T48" s="52"/>
      <c r="U48" s="52"/>
      <c r="V48" s="52"/>
      <c r="W48" s="52">
        <v>1</v>
      </c>
      <c r="X48" s="52"/>
      <c r="Y48" s="52"/>
      <c r="Z48" s="52"/>
      <c r="AA48" s="52"/>
      <c r="AB48" s="52"/>
      <c r="AC48" s="52">
        <v>1</v>
      </c>
      <c r="AD48" s="52"/>
      <c r="AE48" s="50" t="s">
        <v>882</v>
      </c>
    </row>
    <row r="49" spans="1:31" s="40" customFormat="1" ht="21" hidden="1" thickBot="1">
      <c r="A49" s="53" t="s">
        <v>165</v>
      </c>
      <c r="B49" s="50" t="s">
        <v>938</v>
      </c>
      <c r="C49" s="50" t="s">
        <v>935</v>
      </c>
      <c r="D49" s="53" t="s">
        <v>65</v>
      </c>
      <c r="E49" s="53" t="s">
        <v>73</v>
      </c>
      <c r="F49" s="54">
        <v>1</v>
      </c>
      <c r="G49" s="83"/>
      <c r="H49" s="83"/>
      <c r="I49" s="52"/>
      <c r="J49" s="52"/>
      <c r="K49" s="52">
        <v>1</v>
      </c>
      <c r="L49" s="52"/>
      <c r="M49" s="52"/>
      <c r="N49" s="52"/>
      <c r="O49" s="52"/>
      <c r="P49" s="52"/>
      <c r="Q49" s="52">
        <v>1</v>
      </c>
      <c r="R49" s="52"/>
      <c r="S49" s="52"/>
      <c r="T49" s="52"/>
      <c r="U49" s="52"/>
      <c r="V49" s="52"/>
      <c r="W49" s="52">
        <v>1</v>
      </c>
      <c r="X49" s="52"/>
      <c r="Y49" s="52"/>
      <c r="Z49" s="52"/>
      <c r="AA49" s="52"/>
      <c r="AB49" s="52"/>
      <c r="AC49" s="52">
        <v>1</v>
      </c>
      <c r="AD49" s="52"/>
      <c r="AE49" s="50" t="s">
        <v>882</v>
      </c>
    </row>
    <row r="50" spans="1:31" s="40" customFormat="1" ht="21" hidden="1" thickBot="1">
      <c r="A50" s="53" t="s">
        <v>165</v>
      </c>
      <c r="B50" s="50" t="s">
        <v>939</v>
      </c>
      <c r="C50" s="50" t="s">
        <v>936</v>
      </c>
      <c r="D50" s="53" t="s">
        <v>65</v>
      </c>
      <c r="E50" s="53" t="s">
        <v>73</v>
      </c>
      <c r="F50" s="54">
        <v>1</v>
      </c>
      <c r="G50" s="83"/>
      <c r="H50" s="83"/>
      <c r="I50" s="52"/>
      <c r="J50" s="52"/>
      <c r="K50" s="52">
        <v>1</v>
      </c>
      <c r="L50" s="52"/>
      <c r="M50" s="52"/>
      <c r="N50" s="52"/>
      <c r="O50" s="52"/>
      <c r="P50" s="52"/>
      <c r="Q50" s="52">
        <v>1</v>
      </c>
      <c r="R50" s="52"/>
      <c r="S50" s="52"/>
      <c r="T50" s="52"/>
      <c r="U50" s="52"/>
      <c r="V50" s="52"/>
      <c r="W50" s="52">
        <v>1</v>
      </c>
      <c r="X50" s="52"/>
      <c r="Y50" s="52"/>
      <c r="Z50" s="52"/>
      <c r="AA50" s="52"/>
      <c r="AB50" s="52"/>
      <c r="AC50" s="52">
        <v>1</v>
      </c>
      <c r="AD50" s="52"/>
      <c r="AE50" s="50" t="s">
        <v>882</v>
      </c>
    </row>
    <row r="51" spans="1:31" s="40" customFormat="1" ht="21" hidden="1" thickBot="1">
      <c r="A51" s="53" t="s">
        <v>186</v>
      </c>
      <c r="B51" s="50" t="s">
        <v>940</v>
      </c>
      <c r="C51" s="50" t="s">
        <v>944</v>
      </c>
      <c r="D51" s="53" t="s">
        <v>65</v>
      </c>
      <c r="E51" s="53" t="s">
        <v>948</v>
      </c>
      <c r="F51" s="54">
        <v>1</v>
      </c>
      <c r="G51" s="83"/>
      <c r="H51" s="83"/>
      <c r="I51" s="52"/>
      <c r="J51" s="52"/>
      <c r="K51" s="52"/>
      <c r="L51" s="52"/>
      <c r="M51" s="52"/>
      <c r="N51" s="52"/>
      <c r="O51" s="52"/>
      <c r="P51" s="52"/>
      <c r="Q51" s="52">
        <v>1</v>
      </c>
      <c r="R51" s="52"/>
      <c r="S51" s="52"/>
      <c r="T51" s="52"/>
      <c r="U51" s="52"/>
      <c r="V51" s="52"/>
      <c r="W51" s="52"/>
      <c r="X51" s="52"/>
      <c r="Y51" s="52"/>
      <c r="Z51" s="52"/>
      <c r="AA51" s="52"/>
      <c r="AB51" s="52"/>
      <c r="AC51" s="52"/>
      <c r="AD51" s="52"/>
      <c r="AE51" s="50" t="s">
        <v>879</v>
      </c>
    </row>
    <row r="52" spans="1:31" s="40" customFormat="1" ht="21" hidden="1" thickBot="1">
      <c r="A52" s="53" t="s">
        <v>186</v>
      </c>
      <c r="B52" s="50" t="s">
        <v>941</v>
      </c>
      <c r="C52" s="50" t="s">
        <v>945</v>
      </c>
      <c r="D52" s="53" t="s">
        <v>65</v>
      </c>
      <c r="E52" s="53" t="s">
        <v>949</v>
      </c>
      <c r="F52" s="54">
        <v>1</v>
      </c>
      <c r="G52" s="83"/>
      <c r="H52" s="83"/>
      <c r="I52" s="52"/>
      <c r="J52" s="52"/>
      <c r="K52" s="52">
        <v>1</v>
      </c>
      <c r="L52" s="52"/>
      <c r="M52" s="52"/>
      <c r="N52" s="52"/>
      <c r="O52" s="52"/>
      <c r="P52" s="52"/>
      <c r="Q52" s="52"/>
      <c r="R52" s="52"/>
      <c r="S52" s="52"/>
      <c r="T52" s="52"/>
      <c r="U52" s="52"/>
      <c r="V52" s="52"/>
      <c r="W52" s="52"/>
      <c r="X52" s="52"/>
      <c r="Y52" s="52"/>
      <c r="Z52" s="52"/>
      <c r="AA52" s="52"/>
      <c r="AB52" s="52"/>
      <c r="AC52" s="52"/>
      <c r="AD52" s="52"/>
      <c r="AE52" s="50" t="s">
        <v>879</v>
      </c>
    </row>
    <row r="53" spans="1:31" s="40" customFormat="1" ht="30.75" hidden="1" customHeight="1" thickBot="1">
      <c r="A53" s="53" t="s">
        <v>186</v>
      </c>
      <c r="B53" s="50" t="s">
        <v>942</v>
      </c>
      <c r="C53" s="50" t="s">
        <v>946</v>
      </c>
      <c r="D53" s="53" t="s">
        <v>65</v>
      </c>
      <c r="E53" s="53" t="s">
        <v>949</v>
      </c>
      <c r="F53" s="54">
        <v>1</v>
      </c>
      <c r="G53" s="83"/>
      <c r="H53" s="83"/>
      <c r="I53" s="52"/>
      <c r="J53" s="52"/>
      <c r="K53" s="52">
        <v>1</v>
      </c>
      <c r="L53" s="52"/>
      <c r="M53" s="52"/>
      <c r="N53" s="52"/>
      <c r="O53" s="52"/>
      <c r="P53" s="52"/>
      <c r="Q53" s="52"/>
      <c r="R53" s="52"/>
      <c r="S53" s="52"/>
      <c r="T53" s="52"/>
      <c r="U53" s="52"/>
      <c r="V53" s="52"/>
      <c r="W53" s="52"/>
      <c r="X53" s="52"/>
      <c r="Y53" s="52"/>
      <c r="Z53" s="52"/>
      <c r="AA53" s="52"/>
      <c r="AB53" s="52"/>
      <c r="AC53" s="52"/>
      <c r="AD53" s="52"/>
      <c r="AE53" s="50" t="s">
        <v>879</v>
      </c>
    </row>
    <row r="54" spans="1:31" s="40" customFormat="1" ht="30.75" hidden="1" customHeight="1" thickBot="1">
      <c r="A54" s="53" t="s">
        <v>186</v>
      </c>
      <c r="B54" s="50" t="s">
        <v>943</v>
      </c>
      <c r="C54" s="50" t="s">
        <v>947</v>
      </c>
      <c r="D54" s="53" t="s">
        <v>65</v>
      </c>
      <c r="E54" s="53" t="s">
        <v>950</v>
      </c>
      <c r="F54" s="54">
        <v>1</v>
      </c>
      <c r="G54" s="83"/>
      <c r="H54" s="83"/>
      <c r="I54" s="52"/>
      <c r="J54" s="52"/>
      <c r="K54" s="52"/>
      <c r="L54" s="52"/>
      <c r="M54" s="52"/>
      <c r="N54" s="52"/>
      <c r="O54" s="52">
        <v>1</v>
      </c>
      <c r="P54" s="52"/>
      <c r="Q54" s="52"/>
      <c r="R54" s="52"/>
      <c r="S54" s="52"/>
      <c r="T54" s="52"/>
      <c r="U54" s="52"/>
      <c r="V54" s="52"/>
      <c r="W54" s="52"/>
      <c r="X54" s="52"/>
      <c r="Y54" s="52"/>
      <c r="Z54" s="52"/>
      <c r="AA54" s="52"/>
      <c r="AB54" s="52"/>
      <c r="AC54" s="52"/>
      <c r="AD54" s="52"/>
      <c r="AE54" s="50" t="s">
        <v>879</v>
      </c>
    </row>
    <row r="55" spans="1:31" s="40" customFormat="1" ht="33" hidden="1" customHeight="1" thickBot="1">
      <c r="A55" s="53" t="s">
        <v>186</v>
      </c>
      <c r="B55" s="50" t="s">
        <v>188</v>
      </c>
      <c r="C55" s="50" t="s">
        <v>189</v>
      </c>
      <c r="D55" s="53" t="s">
        <v>65</v>
      </c>
      <c r="E55" s="53" t="s">
        <v>859</v>
      </c>
      <c r="F55" s="54">
        <v>1</v>
      </c>
      <c r="G55" s="83"/>
      <c r="H55" s="83"/>
      <c r="I55" s="52"/>
      <c r="J55" s="52"/>
      <c r="K55" s="52"/>
      <c r="L55" s="52"/>
      <c r="M55" s="52"/>
      <c r="N55" s="52"/>
      <c r="O55" s="52"/>
      <c r="P55" s="52"/>
      <c r="Q55" s="52"/>
      <c r="R55" s="52"/>
      <c r="S55" s="52"/>
      <c r="T55" s="52"/>
      <c r="U55" s="52"/>
      <c r="V55" s="52"/>
      <c r="W55" s="52"/>
      <c r="X55" s="52"/>
      <c r="Y55" s="52"/>
      <c r="Z55" s="52"/>
      <c r="AA55" s="52">
        <v>1</v>
      </c>
      <c r="AB55" s="52"/>
      <c r="AC55" s="52"/>
      <c r="AD55" s="52"/>
      <c r="AE55" s="50" t="s">
        <v>882</v>
      </c>
    </row>
    <row r="56" spans="1:31" s="40" customFormat="1" ht="58" hidden="1" thickBot="1">
      <c r="A56" s="53" t="s">
        <v>219</v>
      </c>
      <c r="B56" s="50" t="s">
        <v>217</v>
      </c>
      <c r="C56" s="50" t="s">
        <v>218</v>
      </c>
      <c r="D56" s="53" t="s">
        <v>65</v>
      </c>
      <c r="E56" s="53" t="s">
        <v>71</v>
      </c>
      <c r="F56" s="54">
        <v>1</v>
      </c>
      <c r="G56" s="83">
        <v>1</v>
      </c>
      <c r="H56" s="83">
        <v>1</v>
      </c>
      <c r="I56" s="52">
        <v>1</v>
      </c>
      <c r="J56" s="52">
        <v>1</v>
      </c>
      <c r="K56" s="52">
        <v>1</v>
      </c>
      <c r="L56" s="52"/>
      <c r="M56" s="52">
        <v>1</v>
      </c>
      <c r="N56" s="52">
        <v>1</v>
      </c>
      <c r="O56" s="52">
        <v>1</v>
      </c>
      <c r="P56" s="52"/>
      <c r="Q56" s="52">
        <v>1</v>
      </c>
      <c r="R56" s="52"/>
      <c r="S56" s="52">
        <v>1</v>
      </c>
      <c r="T56" s="52"/>
      <c r="U56" s="52">
        <v>1</v>
      </c>
      <c r="V56" s="52"/>
      <c r="W56" s="52">
        <v>1</v>
      </c>
      <c r="X56" s="52"/>
      <c r="Y56" s="52">
        <v>1</v>
      </c>
      <c r="Z56" s="52"/>
      <c r="AA56" s="52">
        <v>1</v>
      </c>
      <c r="AB56" s="52"/>
      <c r="AC56" s="52">
        <v>1</v>
      </c>
      <c r="AD56" s="52"/>
      <c r="AE56" s="50" t="s">
        <v>860</v>
      </c>
    </row>
    <row r="57" spans="1:31" s="40" customFormat="1" ht="39" hidden="1" thickBot="1">
      <c r="A57" s="53" t="s">
        <v>219</v>
      </c>
      <c r="B57" s="50" t="s">
        <v>220</v>
      </c>
      <c r="C57" s="50" t="s">
        <v>951</v>
      </c>
      <c r="D57" s="53" t="s">
        <v>65</v>
      </c>
      <c r="E57" s="53" t="s">
        <v>71</v>
      </c>
      <c r="F57" s="54">
        <v>1</v>
      </c>
      <c r="G57" s="83">
        <v>1</v>
      </c>
      <c r="H57" s="83">
        <v>1</v>
      </c>
      <c r="I57" s="52">
        <v>1</v>
      </c>
      <c r="J57" s="52">
        <v>1</v>
      </c>
      <c r="K57" s="52">
        <v>1</v>
      </c>
      <c r="L57" s="52"/>
      <c r="M57" s="52">
        <v>1</v>
      </c>
      <c r="N57" s="52">
        <v>1</v>
      </c>
      <c r="O57" s="52">
        <v>1</v>
      </c>
      <c r="P57" s="52"/>
      <c r="Q57" s="52">
        <v>1</v>
      </c>
      <c r="R57" s="52"/>
      <c r="S57" s="52">
        <v>1</v>
      </c>
      <c r="T57" s="52"/>
      <c r="U57" s="52">
        <v>1</v>
      </c>
      <c r="V57" s="52"/>
      <c r="W57" s="52">
        <v>1</v>
      </c>
      <c r="X57" s="52"/>
      <c r="Y57" s="52">
        <v>1</v>
      </c>
      <c r="Z57" s="52"/>
      <c r="AA57" s="52">
        <v>1</v>
      </c>
      <c r="AB57" s="52"/>
      <c r="AC57" s="52">
        <v>1</v>
      </c>
      <c r="AD57" s="52"/>
      <c r="AE57" s="50" t="s">
        <v>879</v>
      </c>
    </row>
    <row r="58" spans="1:31" s="40" customFormat="1" ht="39" hidden="1" thickBot="1">
      <c r="A58" s="53" t="s">
        <v>952</v>
      </c>
      <c r="B58" s="50" t="s">
        <v>953</v>
      </c>
      <c r="C58" s="89" t="s">
        <v>954</v>
      </c>
      <c r="D58" s="53" t="s">
        <v>65</v>
      </c>
      <c r="E58" s="53" t="s">
        <v>955</v>
      </c>
      <c r="F58" s="54">
        <v>1</v>
      </c>
      <c r="G58" s="83"/>
      <c r="H58" s="83"/>
      <c r="I58" s="52"/>
      <c r="J58" s="52"/>
      <c r="K58" s="52"/>
      <c r="L58" s="52"/>
      <c r="M58" s="52"/>
      <c r="N58" s="52"/>
      <c r="O58" s="52"/>
      <c r="P58" s="52"/>
      <c r="Q58" s="52"/>
      <c r="R58" s="52"/>
      <c r="S58" s="52"/>
      <c r="T58" s="52"/>
      <c r="U58" s="52">
        <v>1</v>
      </c>
      <c r="V58" s="52"/>
      <c r="W58" s="52"/>
      <c r="X58" s="52"/>
      <c r="Y58" s="52"/>
      <c r="Z58" s="52"/>
      <c r="AA58" s="52"/>
      <c r="AB58" s="52"/>
      <c r="AC58" s="52"/>
      <c r="AD58" s="52"/>
      <c r="AE58" s="50" t="s">
        <v>879</v>
      </c>
    </row>
    <row r="59" spans="1:31" s="40" customFormat="1" ht="58" hidden="1" thickBot="1">
      <c r="A59" s="53" t="s">
        <v>972</v>
      </c>
      <c r="B59" s="50" t="s">
        <v>956</v>
      </c>
      <c r="C59" s="89" t="s">
        <v>957</v>
      </c>
      <c r="D59" s="53" t="s">
        <v>65</v>
      </c>
      <c r="E59" s="53" t="s">
        <v>73</v>
      </c>
      <c r="F59" s="54">
        <v>1</v>
      </c>
      <c r="G59" s="83"/>
      <c r="H59" s="83"/>
      <c r="I59" s="52"/>
      <c r="J59" s="52"/>
      <c r="K59" s="52">
        <v>1</v>
      </c>
      <c r="L59" s="52"/>
      <c r="M59" s="52"/>
      <c r="N59" s="52"/>
      <c r="O59" s="52"/>
      <c r="P59" s="52"/>
      <c r="Q59" s="52">
        <v>1</v>
      </c>
      <c r="R59" s="52"/>
      <c r="S59" s="52"/>
      <c r="T59" s="52"/>
      <c r="U59" s="52"/>
      <c r="V59" s="52"/>
      <c r="W59" s="52">
        <v>1</v>
      </c>
      <c r="X59" s="52"/>
      <c r="Y59" s="52"/>
      <c r="Z59" s="52"/>
      <c r="AA59" s="52"/>
      <c r="AB59" s="52"/>
      <c r="AC59" s="52">
        <v>1</v>
      </c>
      <c r="AD59" s="52"/>
      <c r="AE59" s="50" t="s">
        <v>882</v>
      </c>
    </row>
    <row r="60" spans="1:31" s="40" customFormat="1" ht="58" hidden="1" thickBot="1">
      <c r="A60" s="53" t="s">
        <v>972</v>
      </c>
      <c r="B60" s="50" t="s">
        <v>956</v>
      </c>
      <c r="C60" s="89" t="s">
        <v>958</v>
      </c>
      <c r="D60" s="53" t="s">
        <v>65</v>
      </c>
      <c r="E60" s="53" t="s">
        <v>73</v>
      </c>
      <c r="F60" s="54">
        <v>1</v>
      </c>
      <c r="G60" s="83"/>
      <c r="H60" s="83"/>
      <c r="I60" s="52"/>
      <c r="J60" s="52"/>
      <c r="K60" s="52">
        <v>1</v>
      </c>
      <c r="L60" s="52"/>
      <c r="M60" s="52"/>
      <c r="N60" s="52"/>
      <c r="O60" s="52"/>
      <c r="P60" s="52"/>
      <c r="Q60" s="52">
        <v>1</v>
      </c>
      <c r="R60" s="52"/>
      <c r="S60" s="52"/>
      <c r="T60" s="52"/>
      <c r="U60" s="52"/>
      <c r="V60" s="52"/>
      <c r="W60" s="52">
        <v>1</v>
      </c>
      <c r="X60" s="52"/>
      <c r="Y60" s="52"/>
      <c r="Z60" s="52"/>
      <c r="AA60" s="52"/>
      <c r="AB60" s="52"/>
      <c r="AC60" s="52">
        <v>1</v>
      </c>
      <c r="AD60" s="52"/>
      <c r="AE60" s="50" t="s">
        <v>882</v>
      </c>
    </row>
    <row r="61" spans="1:31" s="40" customFormat="1" ht="21" hidden="1" thickBot="1">
      <c r="A61" s="53" t="s">
        <v>502</v>
      </c>
      <c r="B61" s="50" t="s">
        <v>959</v>
      </c>
      <c r="C61" s="89" t="s">
        <v>965</v>
      </c>
      <c r="D61" s="53" t="s">
        <v>65</v>
      </c>
      <c r="E61" s="53" t="s">
        <v>152</v>
      </c>
      <c r="F61" s="54">
        <v>1</v>
      </c>
      <c r="G61" s="83"/>
      <c r="H61" s="83"/>
      <c r="I61" s="52"/>
      <c r="J61" s="52"/>
      <c r="K61" s="52"/>
      <c r="L61" s="52"/>
      <c r="M61" s="52"/>
      <c r="N61" s="52"/>
      <c r="O61" s="52"/>
      <c r="P61" s="52"/>
      <c r="Q61" s="52">
        <v>1</v>
      </c>
      <c r="R61" s="52"/>
      <c r="S61" s="52"/>
      <c r="T61" s="52"/>
      <c r="U61" s="52"/>
      <c r="V61" s="52"/>
      <c r="W61" s="52"/>
      <c r="X61" s="52"/>
      <c r="Y61" s="52"/>
      <c r="Z61" s="52"/>
      <c r="AA61" s="52"/>
      <c r="AB61" s="52"/>
      <c r="AC61" s="52"/>
      <c r="AD61" s="52"/>
      <c r="AE61" s="50" t="s">
        <v>882</v>
      </c>
    </row>
    <row r="62" spans="1:31" s="40" customFormat="1" ht="21" hidden="1" thickBot="1">
      <c r="A62" s="53" t="s">
        <v>502</v>
      </c>
      <c r="B62" s="50" t="s">
        <v>932</v>
      </c>
      <c r="C62" s="89" t="s">
        <v>966</v>
      </c>
      <c r="D62" s="53" t="s">
        <v>65</v>
      </c>
      <c r="E62" s="53" t="s">
        <v>85</v>
      </c>
      <c r="F62" s="54">
        <v>1</v>
      </c>
      <c r="G62" s="83"/>
      <c r="H62" s="83"/>
      <c r="I62" s="52"/>
      <c r="J62" s="52"/>
      <c r="K62" s="52"/>
      <c r="L62" s="52"/>
      <c r="M62" s="52"/>
      <c r="N62" s="52"/>
      <c r="O62" s="52"/>
      <c r="P62" s="52"/>
      <c r="Q62" s="52">
        <v>1</v>
      </c>
      <c r="R62" s="52"/>
      <c r="S62" s="52"/>
      <c r="T62" s="52"/>
      <c r="U62" s="52"/>
      <c r="V62" s="52"/>
      <c r="W62" s="52"/>
      <c r="X62" s="52"/>
      <c r="Y62" s="52"/>
      <c r="Z62" s="52"/>
      <c r="AA62" s="52"/>
      <c r="AB62" s="52"/>
      <c r="AC62" s="52">
        <v>1</v>
      </c>
      <c r="AD62" s="52"/>
      <c r="AE62" s="50" t="s">
        <v>882</v>
      </c>
    </row>
    <row r="63" spans="1:31" s="40" customFormat="1" ht="39" hidden="1" thickBot="1">
      <c r="A63" s="53" t="s">
        <v>502</v>
      </c>
      <c r="B63" s="50" t="s">
        <v>960</v>
      </c>
      <c r="C63" s="89" t="s">
        <v>967</v>
      </c>
      <c r="D63" s="53" t="s">
        <v>65</v>
      </c>
      <c r="E63" s="53" t="s">
        <v>190</v>
      </c>
      <c r="F63" s="54">
        <v>1</v>
      </c>
      <c r="G63" s="83"/>
      <c r="H63" s="83"/>
      <c r="I63" s="52"/>
      <c r="J63" s="52"/>
      <c r="K63" s="52"/>
      <c r="L63" s="52"/>
      <c r="M63" s="52"/>
      <c r="N63" s="52"/>
      <c r="O63" s="52"/>
      <c r="P63" s="52"/>
      <c r="Q63" s="52"/>
      <c r="R63" s="52"/>
      <c r="S63" s="52"/>
      <c r="T63" s="52"/>
      <c r="U63" s="52"/>
      <c r="V63" s="52"/>
      <c r="W63" s="52">
        <v>1</v>
      </c>
      <c r="X63" s="52"/>
      <c r="Y63" s="52"/>
      <c r="Z63" s="52"/>
      <c r="AA63" s="52"/>
      <c r="AB63" s="52"/>
      <c r="AC63" s="52"/>
      <c r="AD63" s="52"/>
      <c r="AE63" s="50" t="s">
        <v>882</v>
      </c>
    </row>
    <row r="64" spans="1:31" s="40" customFormat="1" ht="21" hidden="1" thickBot="1">
      <c r="A64" s="53" t="s">
        <v>502</v>
      </c>
      <c r="B64" s="50" t="s">
        <v>961</v>
      </c>
      <c r="C64" s="89" t="s">
        <v>968</v>
      </c>
      <c r="D64" s="53" t="s">
        <v>65</v>
      </c>
      <c r="E64" s="53" t="s">
        <v>73</v>
      </c>
      <c r="F64" s="54">
        <v>1</v>
      </c>
      <c r="G64" s="83"/>
      <c r="H64" s="83"/>
      <c r="I64" s="52"/>
      <c r="J64" s="52"/>
      <c r="K64" s="52">
        <v>1</v>
      </c>
      <c r="L64" s="52"/>
      <c r="M64" s="52"/>
      <c r="N64" s="52"/>
      <c r="O64" s="52"/>
      <c r="P64" s="52"/>
      <c r="Q64" s="52">
        <v>1</v>
      </c>
      <c r="R64" s="52"/>
      <c r="S64" s="52"/>
      <c r="T64" s="52"/>
      <c r="U64" s="52"/>
      <c r="V64" s="52"/>
      <c r="W64" s="52">
        <v>1</v>
      </c>
      <c r="X64" s="52"/>
      <c r="Y64" s="52"/>
      <c r="Z64" s="52"/>
      <c r="AA64" s="52"/>
      <c r="AB64" s="52"/>
      <c r="AC64" s="52">
        <v>1</v>
      </c>
      <c r="AD64" s="52"/>
      <c r="AE64" s="50" t="s">
        <v>882</v>
      </c>
    </row>
    <row r="65" spans="1:31" s="40" customFormat="1" ht="21" hidden="1" thickBot="1">
      <c r="A65" s="53" t="s">
        <v>502</v>
      </c>
      <c r="B65" s="50" t="s">
        <v>962</v>
      </c>
      <c r="C65" s="89" t="s">
        <v>969</v>
      </c>
      <c r="D65" s="53" t="s">
        <v>65</v>
      </c>
      <c r="E65" s="53" t="s">
        <v>73</v>
      </c>
      <c r="F65" s="54">
        <v>1</v>
      </c>
      <c r="G65" s="83"/>
      <c r="H65" s="83"/>
      <c r="I65" s="52"/>
      <c r="J65" s="52"/>
      <c r="K65" s="52">
        <v>1</v>
      </c>
      <c r="L65" s="52"/>
      <c r="M65" s="52"/>
      <c r="N65" s="52"/>
      <c r="O65" s="52"/>
      <c r="P65" s="52"/>
      <c r="Q65" s="52">
        <v>1</v>
      </c>
      <c r="R65" s="52"/>
      <c r="S65" s="52"/>
      <c r="T65" s="52"/>
      <c r="U65" s="52"/>
      <c r="V65" s="52"/>
      <c r="W65" s="52">
        <v>1</v>
      </c>
      <c r="X65" s="52"/>
      <c r="Y65" s="52"/>
      <c r="Z65" s="52"/>
      <c r="AA65" s="52"/>
      <c r="AB65" s="52"/>
      <c r="AC65" s="52">
        <v>1</v>
      </c>
      <c r="AD65" s="52"/>
      <c r="AE65" s="50" t="s">
        <v>882</v>
      </c>
    </row>
    <row r="66" spans="1:31" s="40" customFormat="1" ht="21" hidden="1" thickBot="1">
      <c r="A66" s="53" t="s">
        <v>502</v>
      </c>
      <c r="B66" s="50" t="s">
        <v>963</v>
      </c>
      <c r="C66" s="89" t="s">
        <v>970</v>
      </c>
      <c r="D66" s="53" t="s">
        <v>65</v>
      </c>
      <c r="E66" s="53" t="s">
        <v>73</v>
      </c>
      <c r="F66" s="54">
        <v>1</v>
      </c>
      <c r="G66" s="83"/>
      <c r="H66" s="83"/>
      <c r="I66" s="52"/>
      <c r="J66" s="52"/>
      <c r="K66" s="52">
        <v>1</v>
      </c>
      <c r="L66" s="52"/>
      <c r="M66" s="52"/>
      <c r="N66" s="52"/>
      <c r="O66" s="52"/>
      <c r="P66" s="52"/>
      <c r="Q66" s="52">
        <v>1</v>
      </c>
      <c r="R66" s="52"/>
      <c r="S66" s="52"/>
      <c r="T66" s="52"/>
      <c r="U66" s="52"/>
      <c r="V66" s="52"/>
      <c r="W66" s="52">
        <v>1</v>
      </c>
      <c r="X66" s="52"/>
      <c r="Y66" s="52"/>
      <c r="Z66" s="52"/>
      <c r="AA66" s="52"/>
      <c r="AB66" s="52"/>
      <c r="AC66" s="52">
        <v>1</v>
      </c>
      <c r="AD66" s="52"/>
      <c r="AE66" s="50" t="s">
        <v>882</v>
      </c>
    </row>
    <row r="67" spans="1:31" s="40" customFormat="1" ht="21" hidden="1" thickBot="1">
      <c r="A67" s="53" t="s">
        <v>502</v>
      </c>
      <c r="B67" s="50" t="s">
        <v>964</v>
      </c>
      <c r="C67" s="89" t="s">
        <v>971</v>
      </c>
      <c r="D67" s="53" t="s">
        <v>65</v>
      </c>
      <c r="E67" s="53" t="s">
        <v>73</v>
      </c>
      <c r="F67" s="54">
        <v>1</v>
      </c>
      <c r="G67" s="83"/>
      <c r="H67" s="83"/>
      <c r="I67" s="52"/>
      <c r="J67" s="52"/>
      <c r="K67" s="52">
        <v>1</v>
      </c>
      <c r="L67" s="52"/>
      <c r="M67" s="52"/>
      <c r="N67" s="52"/>
      <c r="O67" s="52"/>
      <c r="P67" s="52"/>
      <c r="Q67" s="52">
        <v>1</v>
      </c>
      <c r="R67" s="52"/>
      <c r="S67" s="52"/>
      <c r="T67" s="52"/>
      <c r="U67" s="52"/>
      <c r="V67" s="52"/>
      <c r="W67" s="52">
        <v>1</v>
      </c>
      <c r="X67" s="52"/>
      <c r="Y67" s="52"/>
      <c r="Z67" s="52"/>
      <c r="AA67" s="52"/>
      <c r="AB67" s="52"/>
      <c r="AC67" s="52">
        <v>1</v>
      </c>
      <c r="AD67" s="52"/>
      <c r="AE67" s="50" t="s">
        <v>882</v>
      </c>
    </row>
    <row r="68" spans="1:31" s="40" customFormat="1" ht="39" hidden="1" thickBot="1">
      <c r="A68" s="53" t="s">
        <v>502</v>
      </c>
      <c r="B68" s="50" t="s">
        <v>973</v>
      </c>
      <c r="C68" s="89" t="s">
        <v>976</v>
      </c>
      <c r="D68" s="53" t="s">
        <v>65</v>
      </c>
      <c r="E68" s="53" t="s">
        <v>979</v>
      </c>
      <c r="F68" s="54">
        <v>1</v>
      </c>
      <c r="G68" s="83"/>
      <c r="H68" s="83"/>
      <c r="I68" s="52"/>
      <c r="J68" s="52"/>
      <c r="K68" s="52"/>
      <c r="L68" s="52"/>
      <c r="M68" s="52"/>
      <c r="N68" s="52"/>
      <c r="O68" s="52"/>
      <c r="P68" s="52"/>
      <c r="Q68" s="52">
        <v>1</v>
      </c>
      <c r="R68" s="52"/>
      <c r="S68" s="52"/>
      <c r="T68" s="52"/>
      <c r="U68" s="52"/>
      <c r="V68" s="52"/>
      <c r="W68" s="52"/>
      <c r="X68" s="52"/>
      <c r="Y68" s="52"/>
      <c r="Z68" s="52"/>
      <c r="AA68" s="52">
        <v>1</v>
      </c>
      <c r="AB68" s="52"/>
      <c r="AC68" s="52"/>
      <c r="AD68" s="52"/>
      <c r="AE68" s="50" t="s">
        <v>882</v>
      </c>
    </row>
    <row r="69" spans="1:31" s="40" customFormat="1" ht="21" hidden="1" thickBot="1">
      <c r="A69" s="53" t="s">
        <v>502</v>
      </c>
      <c r="B69" s="50" t="s">
        <v>974</v>
      </c>
      <c r="C69" s="89" t="s">
        <v>977</v>
      </c>
      <c r="D69" s="53" t="s">
        <v>65</v>
      </c>
      <c r="E69" s="53" t="s">
        <v>73</v>
      </c>
      <c r="F69" s="54">
        <v>1</v>
      </c>
      <c r="G69" s="83"/>
      <c r="H69" s="83"/>
      <c r="I69" s="52"/>
      <c r="J69" s="52"/>
      <c r="K69" s="52">
        <v>1</v>
      </c>
      <c r="L69" s="52"/>
      <c r="M69" s="52"/>
      <c r="N69" s="52"/>
      <c r="O69" s="52"/>
      <c r="P69" s="52"/>
      <c r="Q69" s="52">
        <v>1</v>
      </c>
      <c r="R69" s="52"/>
      <c r="S69" s="52"/>
      <c r="T69" s="52"/>
      <c r="U69" s="52"/>
      <c r="V69" s="52"/>
      <c r="W69" s="52">
        <v>1</v>
      </c>
      <c r="X69" s="52"/>
      <c r="Y69" s="52"/>
      <c r="Z69" s="52"/>
      <c r="AA69" s="52"/>
      <c r="AB69" s="52"/>
      <c r="AC69" s="52">
        <v>1</v>
      </c>
      <c r="AD69" s="52"/>
      <c r="AE69" s="50" t="s">
        <v>882</v>
      </c>
    </row>
    <row r="70" spans="1:31" s="40" customFormat="1" ht="39" hidden="1" thickBot="1">
      <c r="A70" s="53" t="s">
        <v>502</v>
      </c>
      <c r="B70" s="50" t="s">
        <v>975</v>
      </c>
      <c r="C70" s="89" t="s">
        <v>978</v>
      </c>
      <c r="D70" s="53" t="s">
        <v>65</v>
      </c>
      <c r="E70" s="53" t="s">
        <v>979</v>
      </c>
      <c r="F70" s="54">
        <v>1</v>
      </c>
      <c r="G70" s="83"/>
      <c r="H70" s="83"/>
      <c r="I70" s="52"/>
      <c r="J70" s="52"/>
      <c r="K70" s="52"/>
      <c r="L70" s="52"/>
      <c r="M70" s="52"/>
      <c r="N70" s="52"/>
      <c r="O70" s="52"/>
      <c r="P70" s="52"/>
      <c r="Q70" s="52">
        <v>1</v>
      </c>
      <c r="R70" s="52"/>
      <c r="S70" s="52"/>
      <c r="T70" s="52"/>
      <c r="U70" s="52"/>
      <c r="V70" s="52"/>
      <c r="W70" s="52"/>
      <c r="X70" s="52"/>
      <c r="Y70" s="52"/>
      <c r="Z70" s="52"/>
      <c r="AA70" s="52">
        <v>1</v>
      </c>
      <c r="AB70" s="52"/>
      <c r="AC70" s="52"/>
      <c r="AD70" s="52"/>
      <c r="AE70" s="50" t="s">
        <v>882</v>
      </c>
    </row>
    <row r="71" spans="1:31" s="40" customFormat="1" ht="58" hidden="1" thickBot="1">
      <c r="A71" s="53" t="s">
        <v>980</v>
      </c>
      <c r="B71" s="50" t="s">
        <v>981</v>
      </c>
      <c r="C71" s="89" t="s">
        <v>982</v>
      </c>
      <c r="D71" s="53" t="s">
        <v>65</v>
      </c>
      <c r="E71" s="53" t="s">
        <v>983</v>
      </c>
      <c r="F71" s="54">
        <v>1</v>
      </c>
      <c r="G71" s="83"/>
      <c r="H71" s="83"/>
      <c r="I71" s="52"/>
      <c r="J71" s="52"/>
      <c r="K71" s="52"/>
      <c r="L71" s="52"/>
      <c r="M71" s="52"/>
      <c r="N71" s="52"/>
      <c r="O71" s="52"/>
      <c r="P71" s="52"/>
      <c r="Q71" s="52"/>
      <c r="R71" s="52"/>
      <c r="S71" s="52">
        <v>1</v>
      </c>
      <c r="T71" s="52"/>
      <c r="U71" s="52"/>
      <c r="V71" s="52"/>
      <c r="W71" s="52"/>
      <c r="X71" s="52"/>
      <c r="Y71" s="52"/>
      <c r="Z71" s="52"/>
      <c r="AA71" s="52"/>
      <c r="AB71" s="52"/>
      <c r="AC71" s="52"/>
      <c r="AD71" s="52"/>
      <c r="AE71" s="50" t="s">
        <v>860</v>
      </c>
    </row>
    <row r="72" spans="1:31" s="40" customFormat="1" ht="39" hidden="1" thickBot="1">
      <c r="A72" s="53" t="s">
        <v>980</v>
      </c>
      <c r="B72" s="50" t="s">
        <v>984</v>
      </c>
      <c r="C72" s="89" t="s">
        <v>985</v>
      </c>
      <c r="D72" s="53" t="s">
        <v>65</v>
      </c>
      <c r="E72" s="53" t="s">
        <v>102</v>
      </c>
      <c r="F72" s="54">
        <v>1</v>
      </c>
      <c r="G72" s="83"/>
      <c r="H72" s="83"/>
      <c r="I72" s="52"/>
      <c r="J72" s="52"/>
      <c r="K72" s="52"/>
      <c r="L72" s="52"/>
      <c r="M72" s="52"/>
      <c r="N72" s="52"/>
      <c r="O72" s="52"/>
      <c r="P72" s="52"/>
      <c r="Q72" s="52"/>
      <c r="R72" s="52"/>
      <c r="S72" s="52"/>
      <c r="T72" s="52"/>
      <c r="U72" s="52"/>
      <c r="V72" s="52"/>
      <c r="W72" s="52"/>
      <c r="X72" s="52"/>
      <c r="Y72" s="52"/>
      <c r="Z72" s="52"/>
      <c r="AA72" s="52">
        <v>1</v>
      </c>
      <c r="AB72" s="52"/>
      <c r="AC72" s="52"/>
      <c r="AD72" s="52"/>
      <c r="AE72" s="50" t="s">
        <v>879</v>
      </c>
    </row>
    <row r="73" spans="1:31" s="40" customFormat="1" ht="33.75" hidden="1" customHeight="1" thickBot="1">
      <c r="A73" s="53" t="s">
        <v>318</v>
      </c>
      <c r="B73" s="50" t="s">
        <v>986</v>
      </c>
      <c r="C73" s="89" t="s">
        <v>987</v>
      </c>
      <c r="D73" s="53" t="s">
        <v>65</v>
      </c>
      <c r="E73" s="53" t="s">
        <v>187</v>
      </c>
      <c r="F73" s="54">
        <v>1</v>
      </c>
      <c r="G73" s="83"/>
      <c r="H73" s="83"/>
      <c r="I73" s="52"/>
      <c r="J73" s="52"/>
      <c r="K73" s="52">
        <v>1</v>
      </c>
      <c r="L73" s="52"/>
      <c r="M73" s="52"/>
      <c r="N73" s="52"/>
      <c r="O73" s="52"/>
      <c r="P73" s="52"/>
      <c r="Q73" s="52"/>
      <c r="R73" s="52"/>
      <c r="S73" s="52"/>
      <c r="T73" s="52"/>
      <c r="U73" s="52"/>
      <c r="V73" s="52"/>
      <c r="W73" s="52"/>
      <c r="X73" s="52"/>
      <c r="Y73" s="52"/>
      <c r="Z73" s="52"/>
      <c r="AA73" s="52"/>
      <c r="AB73" s="52"/>
      <c r="AC73" s="52"/>
      <c r="AD73" s="52"/>
      <c r="AE73" s="50" t="s">
        <v>860</v>
      </c>
    </row>
    <row r="74" spans="1:31" s="40" customFormat="1" ht="39" hidden="1" thickBot="1">
      <c r="A74" s="53" t="s">
        <v>318</v>
      </c>
      <c r="B74" s="50" t="s">
        <v>988</v>
      </c>
      <c r="C74" s="89" t="s">
        <v>989</v>
      </c>
      <c r="D74" s="53" t="s">
        <v>65</v>
      </c>
      <c r="E74" s="53" t="s">
        <v>73</v>
      </c>
      <c r="F74" s="54">
        <v>1</v>
      </c>
      <c r="G74" s="83"/>
      <c r="H74" s="83"/>
      <c r="I74" s="52"/>
      <c r="J74" s="52"/>
      <c r="K74" s="52">
        <v>1</v>
      </c>
      <c r="L74" s="52"/>
      <c r="M74" s="52"/>
      <c r="N74" s="52"/>
      <c r="O74" s="52"/>
      <c r="P74" s="52"/>
      <c r="Q74" s="52">
        <v>1</v>
      </c>
      <c r="R74" s="52"/>
      <c r="S74" s="52"/>
      <c r="T74" s="52"/>
      <c r="U74" s="52"/>
      <c r="V74" s="52"/>
      <c r="W74" s="52">
        <v>1</v>
      </c>
      <c r="X74" s="52"/>
      <c r="Y74" s="52"/>
      <c r="Z74" s="52"/>
      <c r="AA74" s="52"/>
      <c r="AB74" s="52"/>
      <c r="AC74" s="52">
        <v>1</v>
      </c>
      <c r="AD74" s="52"/>
      <c r="AE74" s="50" t="s">
        <v>867</v>
      </c>
    </row>
    <row r="75" spans="1:31" s="40" customFormat="1" ht="21" hidden="1" thickBot="1">
      <c r="A75" s="53" t="s">
        <v>318</v>
      </c>
      <c r="B75" s="50" t="s">
        <v>990</v>
      </c>
      <c r="C75" s="89" t="s">
        <v>993</v>
      </c>
      <c r="D75" s="53" t="s">
        <v>65</v>
      </c>
      <c r="E75" s="53" t="s">
        <v>71</v>
      </c>
      <c r="F75" s="54">
        <v>1</v>
      </c>
      <c r="G75" s="83">
        <v>1</v>
      </c>
      <c r="H75" s="83">
        <v>0.81</v>
      </c>
      <c r="I75" s="52">
        <v>1</v>
      </c>
      <c r="J75" s="52">
        <v>0.82</v>
      </c>
      <c r="K75" s="52">
        <v>1</v>
      </c>
      <c r="L75" s="52">
        <v>0.78</v>
      </c>
      <c r="M75" s="52">
        <v>1</v>
      </c>
      <c r="N75" s="52">
        <v>0.77</v>
      </c>
      <c r="O75" s="52">
        <v>1</v>
      </c>
      <c r="P75" s="52"/>
      <c r="Q75" s="52">
        <v>1</v>
      </c>
      <c r="R75" s="52"/>
      <c r="S75" s="52">
        <v>1</v>
      </c>
      <c r="T75" s="52"/>
      <c r="U75" s="52">
        <v>1</v>
      </c>
      <c r="V75" s="52"/>
      <c r="W75" s="52">
        <v>1</v>
      </c>
      <c r="X75" s="52"/>
      <c r="Y75" s="52">
        <v>1</v>
      </c>
      <c r="Z75" s="52"/>
      <c r="AA75" s="52">
        <v>1</v>
      </c>
      <c r="AB75" s="52"/>
      <c r="AC75" s="52">
        <v>1</v>
      </c>
      <c r="AD75" s="52"/>
      <c r="AE75" s="50" t="s">
        <v>882</v>
      </c>
    </row>
    <row r="76" spans="1:31" s="40" customFormat="1" ht="21" hidden="1" thickBot="1">
      <c r="A76" s="53" t="s">
        <v>318</v>
      </c>
      <c r="B76" s="50" t="s">
        <v>991</v>
      </c>
      <c r="C76" s="89" t="s">
        <v>994</v>
      </c>
      <c r="D76" s="53" t="s">
        <v>65</v>
      </c>
      <c r="E76" s="53" t="s">
        <v>78</v>
      </c>
      <c r="F76" s="54">
        <v>1</v>
      </c>
      <c r="G76" s="83"/>
      <c r="H76" s="83"/>
      <c r="I76" s="52"/>
      <c r="J76" s="52"/>
      <c r="K76" s="52"/>
      <c r="L76" s="52"/>
      <c r="M76" s="52"/>
      <c r="N76" s="52"/>
      <c r="O76" s="52"/>
      <c r="P76" s="52"/>
      <c r="Q76" s="52">
        <v>1</v>
      </c>
      <c r="R76" s="52"/>
      <c r="S76" s="52"/>
      <c r="T76" s="52"/>
      <c r="U76" s="52"/>
      <c r="V76" s="52"/>
      <c r="W76" s="52"/>
      <c r="X76" s="52"/>
      <c r="Y76" s="52"/>
      <c r="Z76" s="52"/>
      <c r="AA76" s="52"/>
      <c r="AB76" s="52"/>
      <c r="AC76" s="52">
        <v>1</v>
      </c>
      <c r="AD76" s="52"/>
      <c r="AE76" s="50" t="s">
        <v>882</v>
      </c>
    </row>
    <row r="77" spans="1:31" s="40" customFormat="1" ht="21" hidden="1" thickBot="1">
      <c r="A77" s="53" t="s">
        <v>318</v>
      </c>
      <c r="B77" s="50" t="s">
        <v>992</v>
      </c>
      <c r="C77" s="89" t="s">
        <v>995</v>
      </c>
      <c r="D77" s="53" t="s">
        <v>65</v>
      </c>
      <c r="E77" s="53" t="s">
        <v>78</v>
      </c>
      <c r="F77" s="54">
        <v>1</v>
      </c>
      <c r="G77" s="83"/>
      <c r="H77" s="83"/>
      <c r="I77" s="52"/>
      <c r="J77" s="52"/>
      <c r="K77" s="52"/>
      <c r="L77" s="52"/>
      <c r="M77" s="52"/>
      <c r="N77" s="52"/>
      <c r="O77" s="52"/>
      <c r="P77" s="52"/>
      <c r="Q77" s="52">
        <v>1</v>
      </c>
      <c r="R77" s="52"/>
      <c r="S77" s="52"/>
      <c r="T77" s="52"/>
      <c r="U77" s="52"/>
      <c r="V77" s="52"/>
      <c r="W77" s="52"/>
      <c r="X77" s="52"/>
      <c r="Y77" s="52"/>
      <c r="Z77" s="52"/>
      <c r="AA77" s="52"/>
      <c r="AB77" s="52"/>
      <c r="AC77" s="52">
        <v>1</v>
      </c>
      <c r="AD77" s="52"/>
      <c r="AE77" s="50" t="s">
        <v>882</v>
      </c>
    </row>
    <row r="78" spans="1:31" s="40" customFormat="1" ht="39" hidden="1" thickBot="1">
      <c r="A78" s="53" t="s">
        <v>318</v>
      </c>
      <c r="B78" s="50" t="s">
        <v>996</v>
      </c>
      <c r="C78" s="89" t="s">
        <v>997</v>
      </c>
      <c r="D78" s="53" t="s">
        <v>65</v>
      </c>
      <c r="E78" s="53" t="s">
        <v>102</v>
      </c>
      <c r="F78" s="54">
        <v>1</v>
      </c>
      <c r="G78" s="83"/>
      <c r="H78" s="83"/>
      <c r="I78" s="52"/>
      <c r="J78" s="52"/>
      <c r="K78" s="52"/>
      <c r="L78" s="52"/>
      <c r="M78" s="52"/>
      <c r="N78" s="52"/>
      <c r="O78" s="52"/>
      <c r="P78" s="52"/>
      <c r="Q78" s="52"/>
      <c r="R78" s="52"/>
      <c r="S78" s="52"/>
      <c r="T78" s="52"/>
      <c r="U78" s="52"/>
      <c r="V78" s="52"/>
      <c r="W78" s="52"/>
      <c r="X78" s="52"/>
      <c r="Y78" s="52"/>
      <c r="Z78" s="52"/>
      <c r="AA78" s="52">
        <v>1</v>
      </c>
      <c r="AB78" s="52"/>
      <c r="AC78" s="52"/>
      <c r="AD78" s="52"/>
      <c r="AE78" s="50" t="s">
        <v>882</v>
      </c>
    </row>
    <row r="79" spans="1:31" s="40" customFormat="1" ht="21" hidden="1" thickBot="1">
      <c r="A79" s="53" t="s">
        <v>318</v>
      </c>
      <c r="B79" s="50" t="s">
        <v>996</v>
      </c>
      <c r="C79" s="89" t="s">
        <v>998</v>
      </c>
      <c r="D79" s="53" t="s">
        <v>65</v>
      </c>
      <c r="E79" s="53" t="s">
        <v>73</v>
      </c>
      <c r="F79" s="54">
        <v>1</v>
      </c>
      <c r="G79" s="83"/>
      <c r="H79" s="83"/>
      <c r="I79" s="52"/>
      <c r="J79" s="52"/>
      <c r="K79" s="52">
        <v>1</v>
      </c>
      <c r="L79" s="52"/>
      <c r="M79" s="52"/>
      <c r="N79" s="52"/>
      <c r="O79" s="52"/>
      <c r="P79" s="52"/>
      <c r="Q79" s="52">
        <v>1</v>
      </c>
      <c r="R79" s="52"/>
      <c r="S79" s="52"/>
      <c r="T79" s="52"/>
      <c r="U79" s="52"/>
      <c r="V79" s="52"/>
      <c r="W79" s="52">
        <v>1</v>
      </c>
      <c r="X79" s="52"/>
      <c r="Y79" s="52"/>
      <c r="Z79" s="52"/>
      <c r="AA79" s="52"/>
      <c r="AB79" s="52"/>
      <c r="AC79" s="52">
        <v>1</v>
      </c>
      <c r="AD79" s="52"/>
      <c r="AE79" s="50" t="s">
        <v>882</v>
      </c>
    </row>
    <row r="80" spans="1:31" s="40" customFormat="1" ht="21" hidden="1" thickBot="1">
      <c r="A80" s="53" t="s">
        <v>318</v>
      </c>
      <c r="B80" s="50" t="s">
        <v>996</v>
      </c>
      <c r="C80" s="89" t="s">
        <v>999</v>
      </c>
      <c r="D80" s="53" t="s">
        <v>65</v>
      </c>
      <c r="E80" s="53" t="s">
        <v>78</v>
      </c>
      <c r="F80" s="54">
        <v>1</v>
      </c>
      <c r="G80" s="83"/>
      <c r="H80" s="83"/>
      <c r="I80" s="52"/>
      <c r="J80" s="52"/>
      <c r="K80" s="52"/>
      <c r="L80" s="52"/>
      <c r="M80" s="52"/>
      <c r="N80" s="52"/>
      <c r="O80" s="52"/>
      <c r="P80" s="52"/>
      <c r="Q80" s="52">
        <v>1</v>
      </c>
      <c r="R80" s="52"/>
      <c r="S80" s="52"/>
      <c r="T80" s="52"/>
      <c r="U80" s="52"/>
      <c r="V80" s="52"/>
      <c r="W80" s="52"/>
      <c r="X80" s="52"/>
      <c r="Y80" s="52"/>
      <c r="Z80" s="52"/>
      <c r="AA80" s="52"/>
      <c r="AB80" s="52"/>
      <c r="AC80" s="52">
        <v>1</v>
      </c>
      <c r="AD80" s="52"/>
      <c r="AE80" s="50" t="s">
        <v>882</v>
      </c>
    </row>
    <row r="81" spans="1:31" s="40" customFormat="1" ht="21" hidden="1" thickBot="1">
      <c r="A81" s="53" t="s">
        <v>318</v>
      </c>
      <c r="B81" s="50" t="s">
        <v>996</v>
      </c>
      <c r="C81" s="89" t="s">
        <v>1000</v>
      </c>
      <c r="D81" s="53" t="s">
        <v>65</v>
      </c>
      <c r="E81" s="53" t="s">
        <v>78</v>
      </c>
      <c r="F81" s="54">
        <v>1</v>
      </c>
      <c r="G81" s="83"/>
      <c r="H81" s="83"/>
      <c r="I81" s="52"/>
      <c r="J81" s="52"/>
      <c r="K81" s="52"/>
      <c r="L81" s="52"/>
      <c r="M81" s="52"/>
      <c r="N81" s="52"/>
      <c r="O81" s="52"/>
      <c r="P81" s="52"/>
      <c r="Q81" s="52">
        <v>1</v>
      </c>
      <c r="R81" s="52"/>
      <c r="S81" s="52"/>
      <c r="T81" s="52"/>
      <c r="U81" s="52"/>
      <c r="V81" s="52"/>
      <c r="W81" s="52"/>
      <c r="X81" s="52"/>
      <c r="Y81" s="52"/>
      <c r="Z81" s="52"/>
      <c r="AA81" s="52"/>
      <c r="AB81" s="52"/>
      <c r="AC81" s="52">
        <v>1</v>
      </c>
      <c r="AD81" s="52"/>
      <c r="AE81" s="50" t="s">
        <v>882</v>
      </c>
    </row>
    <row r="82" spans="1:31" s="40" customFormat="1" ht="21" hidden="1" thickBot="1">
      <c r="A82" s="53" t="s">
        <v>318</v>
      </c>
      <c r="B82" s="50" t="s">
        <v>996</v>
      </c>
      <c r="C82" s="89" t="s">
        <v>1001</v>
      </c>
      <c r="D82" s="53" t="s">
        <v>65</v>
      </c>
      <c r="E82" s="53" t="s">
        <v>73</v>
      </c>
      <c r="F82" s="54">
        <v>1</v>
      </c>
      <c r="G82" s="83"/>
      <c r="H82" s="83"/>
      <c r="I82" s="52"/>
      <c r="J82" s="52"/>
      <c r="K82" s="52">
        <v>1</v>
      </c>
      <c r="L82" s="52"/>
      <c r="M82" s="52"/>
      <c r="N82" s="52"/>
      <c r="O82" s="52"/>
      <c r="P82" s="52"/>
      <c r="Q82" s="52">
        <v>1</v>
      </c>
      <c r="R82" s="52"/>
      <c r="S82" s="52"/>
      <c r="T82" s="52"/>
      <c r="U82" s="52"/>
      <c r="V82" s="52"/>
      <c r="W82" s="52">
        <v>1</v>
      </c>
      <c r="X82" s="52"/>
      <c r="Y82" s="52"/>
      <c r="Z82" s="52"/>
      <c r="AA82" s="52"/>
      <c r="AB82" s="52"/>
      <c r="AC82" s="52">
        <v>1</v>
      </c>
      <c r="AD82" s="52"/>
      <c r="AE82" s="50" t="s">
        <v>882</v>
      </c>
    </row>
    <row r="83" spans="1:31" s="40" customFormat="1" ht="21" hidden="1" thickBot="1">
      <c r="A83" s="53" t="s">
        <v>318</v>
      </c>
      <c r="B83" s="50" t="s">
        <v>996</v>
      </c>
      <c r="C83" s="89" t="s">
        <v>1002</v>
      </c>
      <c r="D83" s="53" t="s">
        <v>65</v>
      </c>
      <c r="E83" s="53" t="s">
        <v>73</v>
      </c>
      <c r="F83" s="54">
        <v>1</v>
      </c>
      <c r="G83" s="83"/>
      <c r="H83" s="83"/>
      <c r="I83" s="52"/>
      <c r="J83" s="52"/>
      <c r="K83" s="52">
        <v>1</v>
      </c>
      <c r="L83" s="52"/>
      <c r="M83" s="52"/>
      <c r="N83" s="52"/>
      <c r="O83" s="52"/>
      <c r="P83" s="52"/>
      <c r="Q83" s="52">
        <v>1</v>
      </c>
      <c r="R83" s="52"/>
      <c r="S83" s="52"/>
      <c r="T83" s="52"/>
      <c r="U83" s="52"/>
      <c r="V83" s="52"/>
      <c r="W83" s="52">
        <v>1</v>
      </c>
      <c r="X83" s="52"/>
      <c r="Y83" s="52"/>
      <c r="Z83" s="52"/>
      <c r="AA83" s="52"/>
      <c r="AB83" s="52"/>
      <c r="AC83" s="52">
        <v>1</v>
      </c>
      <c r="AD83" s="52"/>
      <c r="AE83" s="50" t="s">
        <v>882</v>
      </c>
    </row>
    <row r="84" spans="1:31" s="40" customFormat="1" ht="21" hidden="1" thickBot="1">
      <c r="A84" s="53" t="s">
        <v>318</v>
      </c>
      <c r="B84" s="50" t="s">
        <v>996</v>
      </c>
      <c r="C84" s="89" t="s">
        <v>1003</v>
      </c>
      <c r="D84" s="53" t="s">
        <v>65</v>
      </c>
      <c r="E84" s="53" t="s">
        <v>73</v>
      </c>
      <c r="F84" s="54">
        <v>1</v>
      </c>
      <c r="G84" s="83"/>
      <c r="H84" s="83"/>
      <c r="I84" s="52"/>
      <c r="J84" s="52"/>
      <c r="K84" s="52">
        <v>1</v>
      </c>
      <c r="L84" s="52"/>
      <c r="M84" s="52"/>
      <c r="N84" s="52"/>
      <c r="O84" s="52"/>
      <c r="P84" s="52"/>
      <c r="Q84" s="52">
        <v>1</v>
      </c>
      <c r="R84" s="52"/>
      <c r="S84" s="52"/>
      <c r="T84" s="52"/>
      <c r="U84" s="52"/>
      <c r="V84" s="52"/>
      <c r="W84" s="52">
        <v>1</v>
      </c>
      <c r="X84" s="52"/>
      <c r="Y84" s="52"/>
      <c r="Z84" s="52"/>
      <c r="AA84" s="52"/>
      <c r="AB84" s="52"/>
      <c r="AC84" s="52">
        <v>1</v>
      </c>
      <c r="AD84" s="52"/>
      <c r="AE84" s="50" t="s">
        <v>882</v>
      </c>
    </row>
    <row r="85" spans="1:31" s="40" customFormat="1" ht="21" hidden="1" thickBot="1">
      <c r="A85" s="88" t="s">
        <v>318</v>
      </c>
      <c r="B85" s="50" t="s">
        <v>996</v>
      </c>
      <c r="C85" s="89" t="s">
        <v>1004</v>
      </c>
      <c r="D85" s="53" t="s">
        <v>65</v>
      </c>
      <c r="E85" s="53" t="s">
        <v>73</v>
      </c>
      <c r="F85" s="54">
        <v>1</v>
      </c>
      <c r="G85" s="83"/>
      <c r="H85" s="83"/>
      <c r="I85" s="52"/>
      <c r="J85" s="52"/>
      <c r="K85" s="52">
        <v>1</v>
      </c>
      <c r="L85" s="52"/>
      <c r="M85" s="52"/>
      <c r="N85" s="52"/>
      <c r="O85" s="52"/>
      <c r="P85" s="52"/>
      <c r="Q85" s="52">
        <v>1</v>
      </c>
      <c r="R85" s="52"/>
      <c r="S85" s="52"/>
      <c r="T85" s="52"/>
      <c r="U85" s="52"/>
      <c r="V85" s="52"/>
      <c r="W85" s="52">
        <v>1</v>
      </c>
      <c r="X85" s="52"/>
      <c r="Y85" s="52"/>
      <c r="Z85" s="52"/>
      <c r="AA85" s="52"/>
      <c r="AB85" s="52"/>
      <c r="AC85" s="52">
        <v>1</v>
      </c>
      <c r="AD85" s="52"/>
      <c r="AE85" s="50" t="s">
        <v>882</v>
      </c>
    </row>
    <row r="86" spans="1:31" s="40" customFormat="1" ht="21" hidden="1" thickBot="1">
      <c r="A86" s="88" t="s">
        <v>318</v>
      </c>
      <c r="B86" s="50" t="s">
        <v>996</v>
      </c>
      <c r="C86" s="89" t="s">
        <v>1005</v>
      </c>
      <c r="D86" s="53" t="s">
        <v>65</v>
      </c>
      <c r="E86" s="53" t="s">
        <v>73</v>
      </c>
      <c r="F86" s="54">
        <v>1</v>
      </c>
      <c r="G86" s="83"/>
      <c r="H86" s="83"/>
      <c r="I86" s="52"/>
      <c r="J86" s="52"/>
      <c r="K86" s="52">
        <v>1</v>
      </c>
      <c r="L86" s="52"/>
      <c r="M86" s="52"/>
      <c r="N86" s="52"/>
      <c r="O86" s="52"/>
      <c r="P86" s="52"/>
      <c r="Q86" s="52">
        <v>1</v>
      </c>
      <c r="R86" s="52"/>
      <c r="S86" s="52"/>
      <c r="T86" s="52"/>
      <c r="U86" s="52"/>
      <c r="V86" s="52"/>
      <c r="W86" s="52">
        <v>1</v>
      </c>
      <c r="X86" s="52"/>
      <c r="Y86" s="52"/>
      <c r="Z86" s="52"/>
      <c r="AA86" s="52"/>
      <c r="AB86" s="52"/>
      <c r="AC86" s="52">
        <v>1</v>
      </c>
      <c r="AD86" s="52"/>
      <c r="AE86" s="50" t="s">
        <v>882</v>
      </c>
    </row>
    <row r="87" spans="1:31" s="40" customFormat="1" ht="21" hidden="1" thickBot="1">
      <c r="A87" s="53" t="s">
        <v>318</v>
      </c>
      <c r="B87" s="50" t="s">
        <v>996</v>
      </c>
      <c r="C87" s="89" t="s">
        <v>1006</v>
      </c>
      <c r="D87" s="53" t="s">
        <v>65</v>
      </c>
      <c r="E87" s="53" t="s">
        <v>73</v>
      </c>
      <c r="F87" s="54">
        <v>1</v>
      </c>
      <c r="G87" s="83"/>
      <c r="H87" s="83"/>
      <c r="I87" s="52"/>
      <c r="J87" s="52"/>
      <c r="K87" s="52">
        <v>1</v>
      </c>
      <c r="L87" s="52"/>
      <c r="M87" s="52"/>
      <c r="N87" s="52"/>
      <c r="O87" s="52"/>
      <c r="P87" s="52"/>
      <c r="Q87" s="52">
        <v>1</v>
      </c>
      <c r="R87" s="52"/>
      <c r="S87" s="52"/>
      <c r="T87" s="52"/>
      <c r="U87" s="52"/>
      <c r="V87" s="52"/>
      <c r="W87" s="52">
        <v>1</v>
      </c>
      <c r="X87" s="52"/>
      <c r="Y87" s="52"/>
      <c r="Z87" s="52"/>
      <c r="AA87" s="52"/>
      <c r="AB87" s="52"/>
      <c r="AC87" s="52">
        <v>1</v>
      </c>
      <c r="AD87" s="52"/>
      <c r="AE87" s="50" t="s">
        <v>882</v>
      </c>
    </row>
    <row r="88" spans="1:31" s="40" customFormat="1" ht="21" hidden="1" thickBot="1">
      <c r="A88" s="53" t="s">
        <v>318</v>
      </c>
      <c r="B88" s="50" t="s">
        <v>996</v>
      </c>
      <c r="C88" s="89" t="s">
        <v>1007</v>
      </c>
      <c r="D88" s="53" t="s">
        <v>65</v>
      </c>
      <c r="E88" s="53" t="s">
        <v>73</v>
      </c>
      <c r="F88" s="54">
        <v>1</v>
      </c>
      <c r="G88" s="83"/>
      <c r="H88" s="83"/>
      <c r="I88" s="52"/>
      <c r="J88" s="52"/>
      <c r="K88" s="52">
        <v>1</v>
      </c>
      <c r="L88" s="52"/>
      <c r="M88" s="52"/>
      <c r="N88" s="52"/>
      <c r="O88" s="52"/>
      <c r="P88" s="52"/>
      <c r="Q88" s="52">
        <v>1</v>
      </c>
      <c r="R88" s="52"/>
      <c r="S88" s="52"/>
      <c r="T88" s="52"/>
      <c r="U88" s="52"/>
      <c r="V88" s="52"/>
      <c r="W88" s="52">
        <v>1</v>
      </c>
      <c r="X88" s="52"/>
      <c r="Y88" s="52"/>
      <c r="Z88" s="52"/>
      <c r="AA88" s="52"/>
      <c r="AB88" s="52"/>
      <c r="AC88" s="52">
        <v>1</v>
      </c>
      <c r="AD88" s="52"/>
      <c r="AE88" s="50" t="s">
        <v>882</v>
      </c>
    </row>
    <row r="89" spans="1:31" s="40" customFormat="1" ht="21" hidden="1" thickBot="1">
      <c r="A89" s="53" t="s">
        <v>318</v>
      </c>
      <c r="B89" s="50" t="s">
        <v>996</v>
      </c>
      <c r="C89" s="89" t="s">
        <v>1008</v>
      </c>
      <c r="D89" s="53" t="s">
        <v>65</v>
      </c>
      <c r="E89" s="53" t="s">
        <v>73</v>
      </c>
      <c r="F89" s="54">
        <v>1</v>
      </c>
      <c r="G89" s="83"/>
      <c r="H89" s="83"/>
      <c r="I89" s="52"/>
      <c r="J89" s="52"/>
      <c r="K89" s="52">
        <v>1</v>
      </c>
      <c r="L89" s="52"/>
      <c r="M89" s="52"/>
      <c r="N89" s="52"/>
      <c r="O89" s="52"/>
      <c r="P89" s="52"/>
      <c r="Q89" s="52">
        <v>1</v>
      </c>
      <c r="R89" s="52"/>
      <c r="S89" s="52"/>
      <c r="T89" s="52"/>
      <c r="U89" s="52"/>
      <c r="V89" s="52"/>
      <c r="W89" s="52">
        <v>1</v>
      </c>
      <c r="X89" s="52"/>
      <c r="Y89" s="52"/>
      <c r="Z89" s="52"/>
      <c r="AA89" s="52"/>
      <c r="AB89" s="52"/>
      <c r="AC89" s="52">
        <v>1</v>
      </c>
      <c r="AD89" s="52"/>
      <c r="AE89" s="50" t="s">
        <v>882</v>
      </c>
    </row>
    <row r="90" spans="1:31" s="40" customFormat="1" ht="21" hidden="1" thickBot="1">
      <c r="A90" s="53" t="s">
        <v>318</v>
      </c>
      <c r="B90" s="50" t="s">
        <v>996</v>
      </c>
      <c r="C90" s="89" t="s">
        <v>1009</v>
      </c>
      <c r="D90" s="53" t="s">
        <v>65</v>
      </c>
      <c r="E90" s="53" t="s">
        <v>73</v>
      </c>
      <c r="F90" s="54">
        <v>1</v>
      </c>
      <c r="G90" s="83"/>
      <c r="H90" s="83"/>
      <c r="I90" s="52"/>
      <c r="J90" s="52"/>
      <c r="K90" s="52">
        <v>1</v>
      </c>
      <c r="L90" s="52"/>
      <c r="M90" s="52"/>
      <c r="N90" s="52"/>
      <c r="O90" s="52"/>
      <c r="P90" s="52"/>
      <c r="Q90" s="52">
        <v>1</v>
      </c>
      <c r="R90" s="52"/>
      <c r="S90" s="52"/>
      <c r="T90" s="52"/>
      <c r="U90" s="52"/>
      <c r="V90" s="52"/>
      <c r="W90" s="52">
        <v>1</v>
      </c>
      <c r="X90" s="52"/>
      <c r="Y90" s="52"/>
      <c r="Z90" s="52"/>
      <c r="AA90" s="52"/>
      <c r="AB90" s="52"/>
      <c r="AC90" s="52">
        <v>1</v>
      </c>
      <c r="AD90" s="52"/>
      <c r="AE90" s="50" t="s">
        <v>882</v>
      </c>
    </row>
    <row r="91" spans="1:31" s="40" customFormat="1" ht="21" hidden="1" thickBot="1">
      <c r="A91" s="53" t="s">
        <v>318</v>
      </c>
      <c r="B91" s="50" t="s">
        <v>996</v>
      </c>
      <c r="C91" s="89" t="s">
        <v>1010</v>
      </c>
      <c r="D91" s="53" t="s">
        <v>65</v>
      </c>
      <c r="E91" s="53" t="s">
        <v>73</v>
      </c>
      <c r="F91" s="54">
        <v>1</v>
      </c>
      <c r="G91" s="83"/>
      <c r="H91" s="83"/>
      <c r="I91" s="52"/>
      <c r="J91" s="52"/>
      <c r="K91" s="52">
        <v>1</v>
      </c>
      <c r="L91" s="52"/>
      <c r="M91" s="52"/>
      <c r="N91" s="52"/>
      <c r="O91" s="52"/>
      <c r="P91" s="52"/>
      <c r="Q91" s="52">
        <v>1</v>
      </c>
      <c r="R91" s="52"/>
      <c r="S91" s="52"/>
      <c r="T91" s="52"/>
      <c r="U91" s="52"/>
      <c r="V91" s="52"/>
      <c r="W91" s="52">
        <v>1</v>
      </c>
      <c r="X91" s="52"/>
      <c r="Y91" s="52"/>
      <c r="Z91" s="52"/>
      <c r="AA91" s="52"/>
      <c r="AB91" s="52"/>
      <c r="AC91" s="52">
        <v>1</v>
      </c>
      <c r="AD91" s="52"/>
      <c r="AE91" s="50" t="s">
        <v>882</v>
      </c>
    </row>
    <row r="92" spans="1:31" s="40" customFormat="1" ht="21" hidden="1" thickBot="1">
      <c r="A92" s="53" t="s">
        <v>318</v>
      </c>
      <c r="B92" s="50" t="s">
        <v>996</v>
      </c>
      <c r="C92" s="89" t="s">
        <v>1011</v>
      </c>
      <c r="D92" s="53" t="s">
        <v>65</v>
      </c>
      <c r="E92" s="53" t="s">
        <v>73</v>
      </c>
      <c r="F92" s="54">
        <v>1</v>
      </c>
      <c r="G92" s="83"/>
      <c r="H92" s="83"/>
      <c r="I92" s="52"/>
      <c r="J92" s="52"/>
      <c r="K92" s="52">
        <v>1</v>
      </c>
      <c r="L92" s="52"/>
      <c r="M92" s="52"/>
      <c r="N92" s="52"/>
      <c r="O92" s="52"/>
      <c r="P92" s="52"/>
      <c r="Q92" s="52">
        <v>1</v>
      </c>
      <c r="R92" s="52"/>
      <c r="S92" s="52"/>
      <c r="T92" s="52"/>
      <c r="U92" s="52"/>
      <c r="V92" s="52"/>
      <c r="W92" s="52">
        <v>1</v>
      </c>
      <c r="X92" s="52"/>
      <c r="Y92" s="52"/>
      <c r="Z92" s="52"/>
      <c r="AA92" s="52"/>
      <c r="AB92" s="52"/>
      <c r="AC92" s="52">
        <v>1</v>
      </c>
      <c r="AD92" s="52"/>
      <c r="AE92" s="50" t="s">
        <v>882</v>
      </c>
    </row>
    <row r="93" spans="1:31" s="40" customFormat="1" ht="39" hidden="1" thickBot="1">
      <c r="A93" s="53" t="s">
        <v>336</v>
      </c>
      <c r="B93" s="50" t="s">
        <v>1012</v>
      </c>
      <c r="C93" s="89" t="s">
        <v>1014</v>
      </c>
      <c r="D93" s="53" t="s">
        <v>65</v>
      </c>
      <c r="E93" s="53" t="s">
        <v>78</v>
      </c>
      <c r="F93" s="54">
        <v>1</v>
      </c>
      <c r="G93" s="83"/>
      <c r="H93" s="83"/>
      <c r="I93" s="52"/>
      <c r="J93" s="52"/>
      <c r="K93" s="52"/>
      <c r="L93" s="52"/>
      <c r="M93" s="52"/>
      <c r="N93" s="52"/>
      <c r="O93" s="52"/>
      <c r="P93" s="52"/>
      <c r="Q93" s="52">
        <v>1</v>
      </c>
      <c r="R93" s="52"/>
      <c r="S93" s="52"/>
      <c r="T93" s="52"/>
      <c r="U93" s="52"/>
      <c r="V93" s="52"/>
      <c r="W93" s="52"/>
      <c r="X93" s="52"/>
      <c r="Y93" s="52"/>
      <c r="Z93" s="52"/>
      <c r="AA93" s="52"/>
      <c r="AB93" s="52"/>
      <c r="AC93" s="52">
        <v>1</v>
      </c>
      <c r="AD93" s="52"/>
      <c r="AE93" s="50" t="s">
        <v>867</v>
      </c>
    </row>
    <row r="94" spans="1:31" s="40" customFormat="1" ht="58" hidden="1" thickBot="1">
      <c r="A94" s="53" t="s">
        <v>336</v>
      </c>
      <c r="B94" s="50" t="s">
        <v>1015</v>
      </c>
      <c r="C94" s="89" t="s">
        <v>1016</v>
      </c>
      <c r="D94" s="53" t="s">
        <v>65</v>
      </c>
      <c r="E94" s="53" t="s">
        <v>1017</v>
      </c>
      <c r="F94" s="54">
        <v>1</v>
      </c>
      <c r="G94" s="83"/>
      <c r="H94" s="83"/>
      <c r="I94" s="52"/>
      <c r="J94" s="52"/>
      <c r="K94" s="52">
        <v>1</v>
      </c>
      <c r="L94" s="52"/>
      <c r="M94" s="52"/>
      <c r="N94" s="52"/>
      <c r="O94" s="52"/>
      <c r="P94" s="52"/>
      <c r="Q94" s="52"/>
      <c r="R94" s="52"/>
      <c r="S94" s="52">
        <v>1</v>
      </c>
      <c r="T94" s="52"/>
      <c r="U94" s="52"/>
      <c r="V94" s="52"/>
      <c r="W94" s="52"/>
      <c r="X94" s="52"/>
      <c r="Y94" s="52"/>
      <c r="Z94" s="52"/>
      <c r="AA94" s="52">
        <v>1</v>
      </c>
      <c r="AB94" s="52"/>
      <c r="AC94" s="52"/>
      <c r="AD94" s="52"/>
      <c r="AE94" s="50" t="s">
        <v>867</v>
      </c>
    </row>
    <row r="95" spans="1:31" s="40" customFormat="1" ht="21" thickBot="1">
      <c r="A95" s="53" t="s">
        <v>1013</v>
      </c>
      <c r="B95" s="50" t="s">
        <v>1021</v>
      </c>
      <c r="C95" s="50" t="s">
        <v>921</v>
      </c>
      <c r="D95" s="53" t="s">
        <v>65</v>
      </c>
      <c r="E95" s="53" t="s">
        <v>71</v>
      </c>
      <c r="F95" s="54">
        <v>1</v>
      </c>
      <c r="G95" s="83">
        <v>1</v>
      </c>
      <c r="H95" s="83">
        <v>1</v>
      </c>
      <c r="I95" s="52">
        <v>1</v>
      </c>
      <c r="J95" s="52">
        <v>0.97</v>
      </c>
      <c r="K95" s="52">
        <v>1</v>
      </c>
      <c r="L95" s="52">
        <v>0.97</v>
      </c>
      <c r="M95" s="52">
        <v>1</v>
      </c>
      <c r="N95" s="52">
        <v>0.98</v>
      </c>
      <c r="O95" s="52">
        <v>1</v>
      </c>
      <c r="P95" s="52"/>
      <c r="Q95" s="52">
        <v>1</v>
      </c>
      <c r="R95" s="52"/>
      <c r="S95" s="52">
        <v>1</v>
      </c>
      <c r="T95" s="52"/>
      <c r="U95" s="52">
        <v>1</v>
      </c>
      <c r="V95" s="52"/>
      <c r="W95" s="52">
        <v>1</v>
      </c>
      <c r="X95" s="52"/>
      <c r="Y95" s="52">
        <v>1</v>
      </c>
      <c r="Z95" s="52"/>
      <c r="AA95" s="52">
        <v>1</v>
      </c>
      <c r="AB95" s="52"/>
      <c r="AC95" s="52">
        <v>1</v>
      </c>
      <c r="AD95" s="52"/>
      <c r="AE95" s="50" t="s">
        <v>879</v>
      </c>
    </row>
    <row r="98" spans="31:31" ht="17.25" customHeight="1">
      <c r="AE98" s="85"/>
    </row>
    <row r="99" spans="31:31" ht="16" thickBot="1">
      <c r="AE99" s="35" t="s">
        <v>37</v>
      </c>
    </row>
    <row r="100" spans="31:31" ht="17.25" customHeight="1" thickBot="1">
      <c r="AE100" s="37">
        <v>10</v>
      </c>
    </row>
    <row r="101" spans="31:31" ht="19.5" customHeight="1" thickBot="1">
      <c r="AE101" s="39">
        <v>30</v>
      </c>
    </row>
    <row r="102" spans="31:31" ht="24.75" customHeight="1" thickBot="1">
      <c r="AE102" s="37">
        <v>50</v>
      </c>
    </row>
    <row r="103" spans="31:31" ht="24" customHeight="1" thickBot="1">
      <c r="AE103" s="39">
        <v>80</v>
      </c>
    </row>
    <row r="104" spans="31:31" ht="29.25" customHeight="1" thickBot="1">
      <c r="AE104" s="37">
        <v>100</v>
      </c>
    </row>
  </sheetData>
  <protectedRanges>
    <protectedRange sqref="AE44 AE93:AE94 AE56 AE73:AE74 AE71" name="Plage5"/>
    <protectedRange sqref="AE44 AE93:AE94 AE56 AE73:AE74 AE71" name="Plage2"/>
    <protectedRange sqref="G41:H95" name="Plage1"/>
    <protectedRange sqref="G41:H95" name="Plage4"/>
    <protectedRange sqref="G9:H40" name="Plage25_1"/>
    <protectedRange sqref="G9:H40" name="Plage19_1"/>
    <protectedRange sqref="AE13 AE45:AE55 AE57:AE70 AE72 AE75:AE92 AE95 AE23:AE43 AE16:AE18" name="Plage17_1"/>
    <protectedRange sqref="H9:H14" name="Plage10_1"/>
    <protectedRange sqref="G9:H14" name="Plage1_2"/>
    <protectedRange sqref="AE13 AE45:AE55 AE57:AE70 AE72 AE75:AE92 AE95 AE23:AE43 AE16:AE18" name="Plage2_3"/>
    <protectedRange sqref="AE13 AE45:AE55 AE57:AE70 AE72 AE75:AE92 AE95 AE23:AE43 AE16:AE18" name="Plage9_1"/>
    <protectedRange sqref="H15:H40" name="Plage10_2"/>
    <protectedRange sqref="G16:H40" name="Plage1_3"/>
    <protectedRange sqref="G15:H15" name="Plage1_1_2"/>
    <protectedRange sqref="G9:H40" name="Plage16_1"/>
    <protectedRange sqref="AE13 AE45:AE55 AE57:AE70 AE72 AE75:AE92 AE95 AE23:AE43 AE16:AE18" name="Plage18_1"/>
    <protectedRange sqref="AE13 AE45:AE55 AE57:AE70 AE72 AE75:AE92 AE95 AE23:AE43 AE16:AE18" name="Plage24_1"/>
  </protectedRanges>
  <autoFilter ref="A8:AE95" xr:uid="{746A93E3-CE1F-4FA4-8FA1-319FF310EE67}">
    <filterColumn colId="0">
      <filters>
        <filter val="PS - CON"/>
        <filter val="PS - CP"/>
        <filter val="PS - SSI/CA"/>
      </filters>
    </filterColumn>
  </autoFilter>
  <mergeCells count="17">
    <mergeCell ref="AA7:AB7"/>
    <mergeCell ref="AC7:AD7"/>
    <mergeCell ref="A1:AE1"/>
    <mergeCell ref="A2:G2"/>
    <mergeCell ref="A3:G3"/>
    <mergeCell ref="G7:H7"/>
    <mergeCell ref="I7:J7"/>
    <mergeCell ref="K7:L7"/>
    <mergeCell ref="M7:N7"/>
    <mergeCell ref="O7:P7"/>
    <mergeCell ref="Q7:R7"/>
    <mergeCell ref="S7:T7"/>
    <mergeCell ref="U7:V7"/>
    <mergeCell ref="W7:X7"/>
    <mergeCell ref="A4:B4"/>
    <mergeCell ref="Y7:Z7"/>
    <mergeCell ref="A6:F6"/>
  </mergeCells>
  <conditionalFormatting sqref="A48:C54">
    <cfRule type="expression" dxfId="481" priority="277">
      <formula>$AE48="Echue"</formula>
    </cfRule>
    <cfRule type="expression" dxfId="480" priority="276">
      <formula>#REF!="Appliqué"</formula>
    </cfRule>
  </conditionalFormatting>
  <conditionalFormatting sqref="A75:C77">
    <cfRule type="expression" dxfId="479" priority="240">
      <formula>#REF!="Appliqué"</formula>
    </cfRule>
    <cfRule type="expression" dxfId="478" priority="241">
      <formula>$AE75="Echue"</formula>
    </cfRule>
  </conditionalFormatting>
  <conditionalFormatting sqref="A78:C94">
    <cfRule type="expression" dxfId="477" priority="230">
      <formula>#REF!="Appliqué"</formula>
    </cfRule>
    <cfRule type="expression" dxfId="476" priority="231">
      <formula>$AE78="Echue"</formula>
    </cfRule>
  </conditionalFormatting>
  <conditionalFormatting sqref="A9:E12 G9:X12 AE9:AE95 A13:X19 A20:E25 F20:X40 A26:B40 D26:E40 A41:X44 F45:X46 A45:E47 F47:J50 D48:E50 A48:A54 A55:X58 A59:J60 D61:X63 A61:A70 D64:E67 G64:J67 F64:F70 G68:X68 B68:E70 G69:J69 G70:P70 A71:X73 A74:J74 A75:A77 D75:X90 A78:B94 D91:E94 F91:X95 A95 Y10:Z46 AC10:AD46 AA11:AB46 D51:X54">
    <cfRule type="expression" dxfId="475" priority="333">
      <formula>#REF!="Appliqué"</formula>
    </cfRule>
  </conditionalFormatting>
  <conditionalFormatting sqref="A9:E12 G9:X12 AE9:AE95 Y10:Z46 AC10:AD46 AA11:AB46 A13:X19 A20:E25 F20:X40 A26:B40 D26:E40 A41:X44 F45:X46 A45:E47 F47:J50 D48:E50 A48:A54 D51:X54 A55:X58 A59:J60 D61:X63 A61:A70 D64:E67 G64:J67 F64:F70 G68:X68 B68:E70 G69:J69 G70:P70 A71:X73 A74:J74 A75:A77 D75:X90 A78:B94 D91:E94 F91:X95 A95">
    <cfRule type="expression" dxfId="474" priority="335">
      <formula>#REF!="N/A"</formula>
    </cfRule>
    <cfRule type="expression" dxfId="473" priority="334">
      <formula>$AE9="Echue"</formula>
    </cfRule>
  </conditionalFormatting>
  <conditionalFormatting sqref="A95:E95">
    <cfRule type="expression" dxfId="472" priority="207">
      <formula>#REF!="Appliqué"</formula>
    </cfRule>
    <cfRule type="expression" dxfId="471" priority="208">
      <formula>$AE95="Echue"</formula>
    </cfRule>
  </conditionalFormatting>
  <conditionalFormatting sqref="A9:F12">
    <cfRule type="expression" dxfId="470" priority="322">
      <formula>#REF!=100%</formula>
    </cfRule>
  </conditionalFormatting>
  <conditionalFormatting sqref="A9:X19">
    <cfRule type="expression" dxfId="469" priority="327">
      <formula>$AE9="Echue"</formula>
    </cfRule>
    <cfRule type="expression" dxfId="468" priority="326">
      <formula>#REF!="Appliqué"</formula>
    </cfRule>
  </conditionalFormatting>
  <conditionalFormatting sqref="A20:X44">
    <cfRule type="expression" dxfId="467" priority="298">
      <formula>$AE20="Echue"</formula>
    </cfRule>
    <cfRule type="expression" dxfId="466" priority="297">
      <formula>#REF!="Appliqué"</formula>
    </cfRule>
  </conditionalFormatting>
  <conditionalFormatting sqref="A55:X60">
    <cfRule type="expression" dxfId="465" priority="130">
      <formula>#REF!="Appliqué"</formula>
    </cfRule>
  </conditionalFormatting>
  <conditionalFormatting sqref="A59:X60">
    <cfRule type="expression" dxfId="464" priority="131">
      <formula>$AE59="Echue"</formula>
    </cfRule>
  </conditionalFormatting>
  <conditionalFormatting sqref="A74:X74">
    <cfRule type="expression" dxfId="463" priority="25">
      <formula>#REF!="Appliqué"</formula>
    </cfRule>
    <cfRule type="expression" dxfId="462" priority="26">
      <formula>$AE74="Echue"</formula>
    </cfRule>
  </conditionalFormatting>
  <conditionalFormatting sqref="B48:C50">
    <cfRule type="expression" dxfId="461" priority="286">
      <formula>#REF!="N/A"</formula>
    </cfRule>
    <cfRule type="expression" dxfId="460" priority="287">
      <formula>#REF!=100%</formula>
    </cfRule>
    <cfRule type="expression" dxfId="459" priority="283">
      <formula>#REF!="N/A"</formula>
    </cfRule>
  </conditionalFormatting>
  <conditionalFormatting sqref="B51:C54">
    <cfRule type="expression" dxfId="458" priority="278">
      <formula>#REF!="N/A"</formula>
    </cfRule>
    <cfRule type="expression" dxfId="457" priority="279">
      <formula>#REF!=100%</formula>
    </cfRule>
  </conditionalFormatting>
  <conditionalFormatting sqref="B61:C67">
    <cfRule type="expression" dxfId="456" priority="252">
      <formula>#REF!="Appliqué"</formula>
    </cfRule>
    <cfRule type="expression" dxfId="455" priority="253">
      <formula>$AE61="Echue"</formula>
    </cfRule>
    <cfRule type="expression" dxfId="454" priority="254">
      <formula>#REF!="N/A"</formula>
    </cfRule>
    <cfRule type="expression" dxfId="453" priority="255">
      <formula>#REF!="Appliqué"</formula>
    </cfRule>
    <cfRule type="expression" dxfId="452" priority="256">
      <formula>$AE61="Echue"</formula>
    </cfRule>
    <cfRule type="expression" dxfId="451" priority="257">
      <formula>#REF!="N/A"</formula>
    </cfRule>
    <cfRule type="expression" dxfId="450" priority="258">
      <formula>#REF!=100%</formula>
    </cfRule>
  </conditionalFormatting>
  <conditionalFormatting sqref="B68:C70">
    <cfRule type="expression" dxfId="449" priority="251">
      <formula>#REF!=100%</formula>
    </cfRule>
  </conditionalFormatting>
  <conditionalFormatting sqref="B75:C77">
    <cfRule type="expression" dxfId="448" priority="242">
      <formula>#REF!="N/A"</formula>
    </cfRule>
    <cfRule type="expression" dxfId="447" priority="239">
      <formula>#REF!="N/A"</formula>
    </cfRule>
    <cfRule type="expression" dxfId="446" priority="238">
      <formula>$AE75="Echue"</formula>
    </cfRule>
    <cfRule type="expression" dxfId="445" priority="237">
      <formula>#REF!="Appliqué"</formula>
    </cfRule>
    <cfRule type="expression" dxfId="444" priority="243">
      <formula>#REF!=100%</formula>
    </cfRule>
  </conditionalFormatting>
  <conditionalFormatting sqref="B48:E50">
    <cfRule type="expression" dxfId="443" priority="284">
      <formula>#REF!="Appliqué"</formula>
    </cfRule>
    <cfRule type="expression" dxfId="442" priority="285">
      <formula>$AE48="Echue"</formula>
    </cfRule>
  </conditionalFormatting>
  <conditionalFormatting sqref="B95:E95">
    <cfRule type="expression" dxfId="441" priority="204">
      <formula>#REF!="Appliqué"</formula>
    </cfRule>
    <cfRule type="expression" dxfId="440" priority="205">
      <formula>$AE95="Echue"</formula>
    </cfRule>
    <cfRule type="expression" dxfId="439" priority="206">
      <formula>#REF!="N/A"</formula>
    </cfRule>
    <cfRule type="expression" dxfId="438" priority="209">
      <formula>#REF!="N/A"</formula>
    </cfRule>
    <cfRule type="expression" dxfId="437" priority="210">
      <formula>#REF!=100%</formula>
    </cfRule>
  </conditionalFormatting>
  <conditionalFormatting sqref="B51:X54">
    <cfRule type="expression" dxfId="436" priority="275">
      <formula>#REF!="N/A"</formula>
    </cfRule>
    <cfRule type="expression" dxfId="435" priority="273">
      <formula>#REF!="Appliqué"</formula>
    </cfRule>
    <cfRule type="expression" dxfId="434" priority="274">
      <formula>$AE51="Echue"</formula>
    </cfRule>
  </conditionalFormatting>
  <conditionalFormatting sqref="C26:C32">
    <cfRule type="expression" dxfId="433" priority="304">
      <formula>#REF!="Appliqué"</formula>
    </cfRule>
    <cfRule type="expression" dxfId="432" priority="307">
      <formula>#REF!=100%</formula>
    </cfRule>
    <cfRule type="expression" dxfId="431" priority="306">
      <formula>#REF!="N/A"</formula>
    </cfRule>
    <cfRule type="expression" dxfId="430" priority="305">
      <formula>$AE26="Echue"</formula>
    </cfRule>
    <cfRule type="expression" dxfId="429" priority="303">
      <formula>#REF!="N/A"</formula>
    </cfRule>
  </conditionalFormatting>
  <conditionalFormatting sqref="C33:C40">
    <cfRule type="expression" dxfId="428" priority="295">
      <formula>$AE33="Echue"</formula>
    </cfRule>
    <cfRule type="expression" dxfId="427" priority="296">
      <formula>#REF!="N/A"</formula>
    </cfRule>
    <cfRule type="expression" dxfId="426" priority="294">
      <formula>#REF!="Appliqué"</formula>
    </cfRule>
    <cfRule type="expression" dxfId="425" priority="299">
      <formula>#REF!="N/A"</formula>
    </cfRule>
    <cfRule type="expression" dxfId="424" priority="300">
      <formula>#REF!=100%</formula>
    </cfRule>
  </conditionalFormatting>
  <conditionalFormatting sqref="C78:C94">
    <cfRule type="expression" dxfId="423" priority="228">
      <formula>$AE78="Echue"</formula>
    </cfRule>
    <cfRule type="expression" dxfId="422" priority="229">
      <formula>#REF!="N/A"</formula>
    </cfRule>
    <cfRule type="expression" dxfId="421" priority="227">
      <formula>#REF!="Appliqué"</formula>
    </cfRule>
    <cfRule type="expression" dxfId="420" priority="232">
      <formula>#REF!="N/A"</formula>
    </cfRule>
    <cfRule type="expression" dxfId="419" priority="233">
      <formula>#REF!=100%</formula>
    </cfRule>
  </conditionalFormatting>
  <conditionalFormatting sqref="E13">
    <cfRule type="expression" dxfId="418" priority="314">
      <formula>#REF!=100%</formula>
    </cfRule>
  </conditionalFormatting>
  <conditionalFormatting sqref="E17">
    <cfRule type="expression" dxfId="417" priority="309">
      <formula>#REF!=100%</formula>
    </cfRule>
  </conditionalFormatting>
  <conditionalFormatting sqref="E46">
    <cfRule type="expression" dxfId="416" priority="290">
      <formula>#REF!=100%</formula>
    </cfRule>
  </conditionalFormatting>
  <conditionalFormatting sqref="E51:E55">
    <cfRule type="expression" dxfId="415" priority="268">
      <formula>#REF!=100%</formula>
    </cfRule>
  </conditionalFormatting>
  <conditionalFormatting sqref="F9:F12 Y10:Z46 AC10:AD46 AA11:AB46">
    <cfRule type="expression" dxfId="414" priority="325">
      <formula>#REF!="N/A"</formula>
    </cfRule>
    <cfRule type="expression" dxfId="413" priority="324">
      <formula>$AE9="Echue"</formula>
    </cfRule>
  </conditionalFormatting>
  <conditionalFormatting sqref="F9:F12">
    <cfRule type="expression" dxfId="412" priority="328">
      <formula>#REF!="N/A"</formula>
    </cfRule>
    <cfRule type="expression" dxfId="411" priority="323">
      <formula>#REF!="Appliqué"</formula>
    </cfRule>
  </conditionalFormatting>
  <conditionalFormatting sqref="F45:X50">
    <cfRule type="expression" dxfId="410" priority="159">
      <formula>$AE45="Echue"</formula>
    </cfRule>
    <cfRule type="expression" dxfId="409" priority="158">
      <formula>#REF!="Appliqué"</formula>
    </cfRule>
  </conditionalFormatting>
  <conditionalFormatting sqref="G9:X12 A13:X19 AE13:AE95 A20:E25 F20:X40 A26:B40 D26:E40 A41:X44 F45:X46 A45:E47 F47:J50 D48:E50 A48:A54 D51:X54 A55:X58 A59:J60 D61:X63 A61:A70 G64:J67 D64:F70 G68:X68 G69:J69 G70:P70 A71:X73 A74:J74 A75:A77 D75:X90 A78:B94 D91:E94 F91:X95 A95">
    <cfRule type="expression" dxfId="408" priority="426">
      <formula>#REF!=100%</formula>
    </cfRule>
  </conditionalFormatting>
  <conditionalFormatting sqref="G64:X67">
    <cfRule type="expression" dxfId="407" priority="102">
      <formula>#REF!="Appliqué"</formula>
    </cfRule>
    <cfRule type="expression" dxfId="406" priority="103">
      <formula>$AE64="Echue"</formula>
    </cfRule>
  </conditionalFormatting>
  <conditionalFormatting sqref="G69:X69">
    <cfRule type="expression" dxfId="405" priority="75">
      <formula>$AE69="Echue"</formula>
    </cfRule>
    <cfRule type="expression" dxfId="404" priority="74">
      <formula>#REF!="Appliqué"</formula>
    </cfRule>
  </conditionalFormatting>
  <conditionalFormatting sqref="G70:X70">
    <cfRule type="expression" dxfId="403" priority="47">
      <formula>$AE70="Echue"</formula>
    </cfRule>
    <cfRule type="expression" dxfId="402" priority="46">
      <formula>#REF!="Appliqué"</formula>
    </cfRule>
  </conditionalFormatting>
  <conditionalFormatting sqref="K47:X50">
    <cfRule type="expression" dxfId="401" priority="161">
      <formula>#REF!=100%</formula>
    </cfRule>
    <cfRule type="expression" dxfId="400" priority="157">
      <formula>#REF!="N/A"</formula>
    </cfRule>
    <cfRule type="expression" dxfId="399" priority="160">
      <formula>#REF!="N/A"</formula>
    </cfRule>
  </conditionalFormatting>
  <conditionalFormatting sqref="K59:X60">
    <cfRule type="expression" dxfId="398" priority="132">
      <formula>#REF!="N/A"</formula>
    </cfRule>
    <cfRule type="expression" dxfId="397" priority="133">
      <formula>#REF!=100%</formula>
    </cfRule>
    <cfRule type="expression" dxfId="396" priority="129">
      <formula>#REF!="N/A"</formula>
    </cfRule>
  </conditionalFormatting>
  <conditionalFormatting sqref="K64:X67">
    <cfRule type="expression" dxfId="395" priority="104">
      <formula>#REF!="N/A"</formula>
    </cfRule>
    <cfRule type="expression" dxfId="394" priority="105">
      <formula>#REF!=100%</formula>
    </cfRule>
    <cfRule type="expression" dxfId="393" priority="101">
      <formula>#REF!="N/A"</formula>
    </cfRule>
  </conditionalFormatting>
  <conditionalFormatting sqref="K69:X69">
    <cfRule type="expression" dxfId="392" priority="73">
      <formula>#REF!="N/A"</formula>
    </cfRule>
    <cfRule type="expression" dxfId="391" priority="76">
      <formula>#REF!="N/A"</formula>
    </cfRule>
    <cfRule type="expression" dxfId="390" priority="77">
      <formula>#REF!=100%</formula>
    </cfRule>
  </conditionalFormatting>
  <conditionalFormatting sqref="K74:X74">
    <cfRule type="expression" dxfId="389" priority="24">
      <formula>#REF!="N/A"</formula>
    </cfRule>
    <cfRule type="expression" dxfId="388" priority="27">
      <formula>#REF!="N/A"</formula>
    </cfRule>
    <cfRule type="expression" dxfId="387" priority="28">
      <formula>#REF!=100%</formula>
    </cfRule>
  </conditionalFormatting>
  <conditionalFormatting sqref="K47:Z50">
    <cfRule type="expression" dxfId="386" priority="151">
      <formula>#REF!="Appliqué"</formula>
    </cfRule>
    <cfRule type="expression" dxfId="385" priority="152">
      <formula>$AE47="Echue"</formula>
    </cfRule>
  </conditionalFormatting>
  <conditionalFormatting sqref="K59:Z60">
    <cfRule type="expression" dxfId="384" priority="124">
      <formula>$AE59="Echue"</formula>
    </cfRule>
    <cfRule type="expression" dxfId="383" priority="123">
      <formula>#REF!="Appliqué"</formula>
    </cfRule>
  </conditionalFormatting>
  <conditionalFormatting sqref="K64:Z67">
    <cfRule type="expression" dxfId="382" priority="96">
      <formula>$AE64="Echue"</formula>
    </cfRule>
    <cfRule type="expression" dxfId="381" priority="95">
      <formula>#REF!="Appliqué"</formula>
    </cfRule>
  </conditionalFormatting>
  <conditionalFormatting sqref="K69:Z69">
    <cfRule type="expression" dxfId="380" priority="68">
      <formula>$AE69="Echue"</formula>
    </cfRule>
    <cfRule type="expression" dxfId="379" priority="67">
      <formula>#REF!="Appliqué"</formula>
    </cfRule>
  </conditionalFormatting>
  <conditionalFormatting sqref="K74:Z74">
    <cfRule type="expression" dxfId="378" priority="19">
      <formula>$AE74="Echue"</formula>
    </cfRule>
    <cfRule type="expression" dxfId="377" priority="18">
      <formula>#REF!="Appliqué"</formula>
    </cfRule>
  </conditionalFormatting>
  <conditionalFormatting sqref="Q70:X70">
    <cfRule type="expression" dxfId="376" priority="49">
      <formula>#REF!=100%</formula>
    </cfRule>
    <cfRule type="expression" dxfId="375" priority="48">
      <formula>#REF!="N/A"</formula>
    </cfRule>
    <cfRule type="expression" dxfId="374" priority="45">
      <formula>#REF!="N/A"</formula>
    </cfRule>
  </conditionalFormatting>
  <conditionalFormatting sqref="Q70:Z70">
    <cfRule type="expression" dxfId="373" priority="40">
      <formula>$AE70="Echue"</formula>
    </cfRule>
    <cfRule type="expression" dxfId="372" priority="39">
      <formula>#REF!="Appliqué"</formula>
    </cfRule>
  </conditionalFormatting>
  <conditionalFormatting sqref="Y9:Z9">
    <cfRule type="expression" dxfId="371" priority="181">
      <formula>#REF!="N/A"</formula>
    </cfRule>
    <cfRule type="expression" dxfId="370" priority="178">
      <formula>#REF!="N/A"</formula>
    </cfRule>
    <cfRule type="expression" dxfId="369" priority="177">
      <formula>$AE9="Echue"</formula>
    </cfRule>
  </conditionalFormatting>
  <conditionalFormatting sqref="Y9:Z46">
    <cfRule type="expression" dxfId="368" priority="182">
      <formula>#REF!=100%</formula>
    </cfRule>
    <cfRule type="expression" dxfId="367" priority="179">
      <formula>#REF!="Appliqué"</formula>
    </cfRule>
  </conditionalFormatting>
  <conditionalFormatting sqref="Y47:Z50">
    <cfRule type="expression" dxfId="366" priority="153">
      <formula>#REF!="N/A"</formula>
    </cfRule>
    <cfRule type="expression" dxfId="365" priority="150">
      <formula>#REF!="N/A"</formula>
    </cfRule>
    <cfRule type="expression" dxfId="364" priority="154">
      <formula>#REF!=100%</formula>
    </cfRule>
  </conditionalFormatting>
  <conditionalFormatting sqref="Y51:Z58 D61:Z63 G68:Z68 A71:Z73 Y75:Z95">
    <cfRule type="expression" dxfId="363" priority="201">
      <formula>$AE51="Echue"</formula>
    </cfRule>
    <cfRule type="expression" dxfId="362" priority="200">
      <formula>#REF!="Appliqué"</formula>
    </cfRule>
  </conditionalFormatting>
  <conditionalFormatting sqref="Y51:Z58 Y61:Z63 Y68:Z68 Y71:Z73 Y75:Z95">
    <cfRule type="expression" dxfId="361" priority="203">
      <formula>#REF!=100%</formula>
    </cfRule>
    <cfRule type="expression" dxfId="360" priority="202">
      <formula>#REF!="N/A"</formula>
    </cfRule>
    <cfRule type="expression" dxfId="359" priority="199">
      <formula>#REF!="N/A"</formula>
    </cfRule>
  </conditionalFormatting>
  <conditionalFormatting sqref="Y59:Z60">
    <cfRule type="expression" dxfId="358" priority="126">
      <formula>#REF!=100%</formula>
    </cfRule>
    <cfRule type="expression" dxfId="357" priority="122">
      <formula>#REF!="N/A"</formula>
    </cfRule>
    <cfRule type="expression" dxfId="356" priority="125">
      <formula>#REF!="N/A"</formula>
    </cfRule>
  </conditionalFormatting>
  <conditionalFormatting sqref="Y64:Z67">
    <cfRule type="expression" dxfId="355" priority="97">
      <formula>#REF!="N/A"</formula>
    </cfRule>
    <cfRule type="expression" dxfId="354" priority="98">
      <formula>#REF!=100%</formula>
    </cfRule>
    <cfRule type="expression" dxfId="353" priority="94">
      <formula>#REF!="N/A"</formula>
    </cfRule>
  </conditionalFormatting>
  <conditionalFormatting sqref="Y69:Z69">
    <cfRule type="expression" dxfId="352" priority="70">
      <formula>#REF!=100%</formula>
    </cfRule>
    <cfRule type="expression" dxfId="351" priority="69">
      <formula>#REF!="N/A"</formula>
    </cfRule>
    <cfRule type="expression" dxfId="350" priority="66">
      <formula>#REF!="N/A"</formula>
    </cfRule>
  </conditionalFormatting>
  <conditionalFormatting sqref="Y70:Z70">
    <cfRule type="expression" dxfId="349" priority="38">
      <formula>#REF!="N/A"</formula>
    </cfRule>
    <cfRule type="expression" dxfId="348" priority="42">
      <formula>#REF!=100%</formula>
    </cfRule>
    <cfRule type="expression" dxfId="347" priority="41">
      <formula>#REF!="N/A"</formula>
    </cfRule>
  </conditionalFormatting>
  <conditionalFormatting sqref="Y74:Z74">
    <cfRule type="expression" dxfId="346" priority="20">
      <formula>#REF!="N/A"</formula>
    </cfRule>
    <cfRule type="expression" dxfId="345" priority="21">
      <formula>#REF!=100%</formula>
    </cfRule>
  </conditionalFormatting>
  <conditionalFormatting sqref="Y9:AB9">
    <cfRule type="expression" dxfId="344" priority="180">
      <formula>$AE9="Echue"</formula>
    </cfRule>
  </conditionalFormatting>
  <conditionalFormatting sqref="Y47:AB50">
    <cfRule type="expression" dxfId="343" priority="144">
      <formula>#REF!="Appliqué"</formula>
    </cfRule>
    <cfRule type="expression" dxfId="342" priority="145">
      <formula>$AE47="Echue"</formula>
    </cfRule>
  </conditionalFormatting>
  <conditionalFormatting sqref="Y59:AB60">
    <cfRule type="expression" dxfId="341" priority="116">
      <formula>#REF!="Appliqué"</formula>
    </cfRule>
    <cfRule type="expression" dxfId="340" priority="117">
      <formula>$AE59="Echue"</formula>
    </cfRule>
  </conditionalFormatting>
  <conditionalFormatting sqref="Y64:AB67">
    <cfRule type="expression" dxfId="339" priority="88">
      <formula>#REF!="Appliqué"</formula>
    </cfRule>
    <cfRule type="expression" dxfId="338" priority="89">
      <formula>$AE64="Echue"</formula>
    </cfRule>
  </conditionalFormatting>
  <conditionalFormatting sqref="Y69:AB69">
    <cfRule type="expression" dxfId="337" priority="60">
      <formula>#REF!="Appliqué"</formula>
    </cfRule>
    <cfRule type="expression" dxfId="336" priority="61">
      <formula>$AE69="Echue"</formula>
    </cfRule>
  </conditionalFormatting>
  <conditionalFormatting sqref="Y70:AB70">
    <cfRule type="expression" dxfId="335" priority="33">
      <formula>$AE70="Echue"</formula>
    </cfRule>
    <cfRule type="expression" dxfId="334" priority="32">
      <formula>#REF!="Appliqué"</formula>
    </cfRule>
  </conditionalFormatting>
  <conditionalFormatting sqref="Y74:AB74">
    <cfRule type="expression" dxfId="333" priority="10">
      <formula>#REF!="N/A"</formula>
    </cfRule>
  </conditionalFormatting>
  <conditionalFormatting sqref="Y9:AD9">
    <cfRule type="expression" dxfId="332" priority="169">
      <formula>#REF!="Appliqué"</formula>
    </cfRule>
  </conditionalFormatting>
  <conditionalFormatting sqref="Y74:AD74">
    <cfRule type="expression" dxfId="331" priority="5">
      <formula>$AE74="Echue"</formula>
    </cfRule>
    <cfRule type="expression" dxfId="330" priority="4">
      <formula>#REF!="Appliqué"</formula>
    </cfRule>
  </conditionalFormatting>
  <conditionalFormatting sqref="AA70">
    <cfRule type="expression" dxfId="329" priority="34">
      <formula>#REF!="N/A"</formula>
    </cfRule>
    <cfRule type="expression" dxfId="328" priority="35">
      <formula>#REF!=100%</formula>
    </cfRule>
    <cfRule type="expression" dxfId="327" priority="31">
      <formula>#REF!="N/A"</formula>
    </cfRule>
    <cfRule type="expression" dxfId="326" priority="30">
      <formula>$AE70="Echue"</formula>
    </cfRule>
    <cfRule type="expression" dxfId="325" priority="29">
      <formula>#REF!="Appliqué"</formula>
    </cfRule>
  </conditionalFormatting>
  <conditionalFormatting sqref="AA9:AB9 Y51:AB58 Y61:AB63 Y68:AB68 AB70 Y71:AB73 Y75:AB95">
    <cfRule type="expression" dxfId="324" priority="193">
      <formula>#REF!="Appliqué"</formula>
    </cfRule>
    <cfRule type="expression" dxfId="323" priority="194">
      <formula>$AE9="Echue"</formula>
    </cfRule>
  </conditionalFormatting>
  <conditionalFormatting sqref="AA9:AB9 AA51:AB58 AA61:AB63 AA68:AB68 AB70 AA71:AB73 AA75:AB95">
    <cfRule type="expression" dxfId="322" priority="195">
      <formula>#REF!="N/A"</formula>
    </cfRule>
    <cfRule type="expression" dxfId="321" priority="196">
      <formula>#REF!=100%</formula>
    </cfRule>
  </conditionalFormatting>
  <conditionalFormatting sqref="AA10:AB10">
    <cfRule type="expression" dxfId="320" priority="163">
      <formula>$AE10="Echue"</formula>
    </cfRule>
    <cfRule type="expression" dxfId="319" priority="162">
      <formula>#REF!="Appliqué"</formula>
    </cfRule>
    <cfRule type="expression" dxfId="318" priority="164">
      <formula>#REF!="N/A"</formula>
    </cfRule>
    <cfRule type="expression" dxfId="317" priority="166">
      <formula>$AE10="Echue"</formula>
    </cfRule>
    <cfRule type="expression" dxfId="316" priority="167">
      <formula>#REF!="N/A"</formula>
    </cfRule>
  </conditionalFormatting>
  <conditionalFormatting sqref="AA10:AB46">
    <cfRule type="expression" dxfId="315" priority="165">
      <formula>#REF!="Appliqué"</formula>
    </cfRule>
    <cfRule type="expression" dxfId="314" priority="168">
      <formula>#REF!=100%</formula>
    </cfRule>
  </conditionalFormatting>
  <conditionalFormatting sqref="AA47:AB50">
    <cfRule type="expression" dxfId="313" priority="143">
      <formula>#REF!="N/A"</formula>
    </cfRule>
    <cfRule type="expression" dxfId="312" priority="147">
      <formula>#REF!=100%</formula>
    </cfRule>
    <cfRule type="expression" dxfId="311" priority="146">
      <formula>#REF!="N/A"</formula>
    </cfRule>
  </conditionalFormatting>
  <conditionalFormatting sqref="AA51:AB58 AA61:AB63 AA68:AB68 AA75:AB95 AA9:AB9 AB70 AA71:AB73">
    <cfRule type="expression" dxfId="310" priority="192">
      <formula>#REF!="N/A"</formula>
    </cfRule>
  </conditionalFormatting>
  <conditionalFormatting sqref="AA59:AB60">
    <cfRule type="expression" dxfId="309" priority="118">
      <formula>#REF!="N/A"</formula>
    </cfRule>
    <cfRule type="expression" dxfId="308" priority="115">
      <formula>#REF!="N/A"</formula>
    </cfRule>
    <cfRule type="expression" dxfId="307" priority="119">
      <formula>#REF!=100%</formula>
    </cfRule>
  </conditionalFormatting>
  <conditionalFormatting sqref="AA64:AB67">
    <cfRule type="expression" dxfId="306" priority="90">
      <formula>#REF!="N/A"</formula>
    </cfRule>
    <cfRule type="expression" dxfId="305" priority="87">
      <formula>#REF!="N/A"</formula>
    </cfRule>
    <cfRule type="expression" dxfId="304" priority="91">
      <formula>#REF!=100%</formula>
    </cfRule>
  </conditionalFormatting>
  <conditionalFormatting sqref="AA69:AB69">
    <cfRule type="expression" dxfId="303" priority="63">
      <formula>#REF!=100%</formula>
    </cfRule>
    <cfRule type="expression" dxfId="302" priority="62">
      <formula>#REF!="N/A"</formula>
    </cfRule>
    <cfRule type="expression" dxfId="301" priority="59">
      <formula>#REF!="N/A"</formula>
    </cfRule>
  </conditionalFormatting>
  <conditionalFormatting sqref="AA71:AB74">
    <cfRule type="expression" dxfId="300" priority="12">
      <formula>$AE71="Echue"</formula>
    </cfRule>
    <cfRule type="expression" dxfId="299" priority="11">
      <formula>#REF!="Appliqué"</formula>
    </cfRule>
  </conditionalFormatting>
  <conditionalFormatting sqref="AA74:AB74">
    <cfRule type="expression" dxfId="298" priority="14">
      <formula>#REF!=100%</formula>
    </cfRule>
    <cfRule type="expression" dxfId="297" priority="13">
      <formula>#REF!="N/A"</formula>
    </cfRule>
  </conditionalFormatting>
  <conditionalFormatting sqref="AA47:AD50">
    <cfRule type="expression" dxfId="296" priority="137">
      <formula>#REF!="Appliqué"</formula>
    </cfRule>
    <cfRule type="expression" dxfId="295" priority="138">
      <formula>$AE47="Echue"</formula>
    </cfRule>
  </conditionalFormatting>
  <conditionalFormatting sqref="AA59:AD60">
    <cfRule type="expression" dxfId="294" priority="109">
      <formula>#REF!="Appliqué"</formula>
    </cfRule>
    <cfRule type="expression" dxfId="293" priority="110">
      <formula>$AE59="Echue"</formula>
    </cfRule>
  </conditionalFormatting>
  <conditionalFormatting sqref="AA64:AD67">
    <cfRule type="expression" dxfId="292" priority="82">
      <formula>$AE64="Echue"</formula>
    </cfRule>
    <cfRule type="expression" dxfId="291" priority="81">
      <formula>#REF!="Appliqué"</formula>
    </cfRule>
  </conditionalFormatting>
  <conditionalFormatting sqref="AA69:AD69">
    <cfRule type="expression" dxfId="290" priority="54">
      <formula>$AE69="Echue"</formula>
    </cfRule>
    <cfRule type="expression" dxfId="289" priority="53">
      <formula>#REF!="Appliqué"</formula>
    </cfRule>
  </conditionalFormatting>
  <conditionalFormatting sqref="AC47:AC50">
    <cfRule type="expression" dxfId="288" priority="134">
      <formula>#REF!="Appliqué"</formula>
    </cfRule>
    <cfRule type="expression" dxfId="287" priority="139">
      <formula>#REF!="N/A"</formula>
    </cfRule>
    <cfRule type="expression" dxfId="286" priority="140">
      <formula>#REF!=100%</formula>
    </cfRule>
    <cfRule type="expression" dxfId="285" priority="136">
      <formula>#REF!="N/A"</formula>
    </cfRule>
    <cfRule type="expression" dxfId="284" priority="135">
      <formula>$AE47="Echue"</formula>
    </cfRule>
  </conditionalFormatting>
  <conditionalFormatting sqref="AC59:AC60">
    <cfRule type="expression" dxfId="283" priority="106">
      <formula>#REF!="Appliqué"</formula>
    </cfRule>
    <cfRule type="expression" dxfId="282" priority="107">
      <formula>$AE59="Echue"</formula>
    </cfRule>
    <cfRule type="expression" dxfId="281" priority="108">
      <formula>#REF!="N/A"</formula>
    </cfRule>
    <cfRule type="expression" dxfId="280" priority="111">
      <formula>#REF!="N/A"</formula>
    </cfRule>
    <cfRule type="expression" dxfId="279" priority="112">
      <formula>#REF!=100%</formula>
    </cfRule>
  </conditionalFormatting>
  <conditionalFormatting sqref="AC64:AC67">
    <cfRule type="expression" dxfId="278" priority="78">
      <formula>#REF!="Appliqué"</formula>
    </cfRule>
    <cfRule type="expression" dxfId="277" priority="79">
      <formula>$AE64="Echue"</formula>
    </cfRule>
    <cfRule type="expression" dxfId="276" priority="80">
      <formula>#REF!="N/A"</formula>
    </cfRule>
    <cfRule type="expression" dxfId="275" priority="83">
      <formula>#REF!="N/A"</formula>
    </cfRule>
    <cfRule type="expression" dxfId="274" priority="84">
      <formula>#REF!=100%</formula>
    </cfRule>
  </conditionalFormatting>
  <conditionalFormatting sqref="AC69">
    <cfRule type="expression" dxfId="273" priority="55">
      <formula>#REF!="N/A"</formula>
    </cfRule>
    <cfRule type="expression" dxfId="272" priority="50">
      <formula>#REF!="Appliqué"</formula>
    </cfRule>
    <cfRule type="expression" dxfId="271" priority="51">
      <formula>$AE69="Echue"</formula>
    </cfRule>
    <cfRule type="expression" dxfId="270" priority="52">
      <formula>#REF!="N/A"</formula>
    </cfRule>
    <cfRule type="expression" dxfId="269" priority="56">
      <formula>#REF!=100%</formula>
    </cfRule>
  </conditionalFormatting>
  <conditionalFormatting sqref="AC74">
    <cfRule type="expression" dxfId="268" priority="7">
      <formula>#REF!=100%</formula>
    </cfRule>
    <cfRule type="expression" dxfId="267" priority="2">
      <formula>$AE74="Echue"</formula>
    </cfRule>
    <cfRule type="expression" dxfId="266" priority="1">
      <formula>#REF!="Appliqué"</formula>
    </cfRule>
    <cfRule type="expression" dxfId="265" priority="3">
      <formula>#REF!="N/A"</formula>
    </cfRule>
    <cfRule type="expression" dxfId="264" priority="6">
      <formula>#REF!="N/A"</formula>
    </cfRule>
  </conditionalFormatting>
  <conditionalFormatting sqref="AC9:AD9">
    <cfRule type="expression" dxfId="263" priority="174">
      <formula>#REF!="N/A"</formula>
    </cfRule>
    <cfRule type="expression" dxfId="262" priority="173">
      <formula>$AE9="Echue"</formula>
    </cfRule>
    <cfRule type="expression" dxfId="261" priority="171">
      <formula>#REF!="N/A"</formula>
    </cfRule>
    <cfRule type="expression" dxfId="260" priority="170">
      <formula>$AE9="Echue"</formula>
    </cfRule>
  </conditionalFormatting>
  <conditionalFormatting sqref="AC9:AD46">
    <cfRule type="expression" dxfId="259" priority="175">
      <formula>#REF!=100%</formula>
    </cfRule>
    <cfRule type="expression" dxfId="258" priority="172">
      <formula>#REF!="Appliqué"</formula>
    </cfRule>
  </conditionalFormatting>
  <conditionalFormatting sqref="AC51:AD58 AC61:AD63 AC68:AD68 AC70:AD73 AC75:AD95 AD47:AD50 AD59:AD60 AD64:AD67 AD69 AD74">
    <cfRule type="expression" dxfId="257" priority="185">
      <formula>#REF!="N/A"</formula>
    </cfRule>
  </conditionalFormatting>
  <conditionalFormatting sqref="AC51:AD58 AC61:AD63 AC68:AD68 AC70:AD73 AC75:AD95">
    <cfRule type="expression" dxfId="256" priority="183">
      <formula>#REF!="Appliqué"</formula>
    </cfRule>
    <cfRule type="expression" dxfId="255" priority="184">
      <formula>$AE51="Echue"</formula>
    </cfRule>
  </conditionalFormatting>
  <conditionalFormatting sqref="AD47:AD50 AA51:AD58 AD59:AD60 AA61:AD63 AD64:AD67 AA68:AD68 AD69 AC70:AD73 AD74 AA75:AD95">
    <cfRule type="expression" dxfId="254" priority="186">
      <formula>#REF!="Appliqué"</formula>
    </cfRule>
    <cfRule type="expression" dxfId="253" priority="187">
      <formula>$AE47="Echue"</formula>
    </cfRule>
  </conditionalFormatting>
  <conditionalFormatting sqref="AD47:AD50 AC51:AD58 AD59:AD60 AC61:AD63 AD64:AD67 AC68:AD68 AD69 AC70:AD73 AD74 AC75:AD95">
    <cfRule type="expression" dxfId="252" priority="188">
      <formula>#REF!="N/A"</formula>
    </cfRule>
  </conditionalFormatting>
  <conditionalFormatting sqref="AD47:AD50 AC51:AD58 AD59:AD60 AC61:AD63 AD64:AD67 AC68:AD68 AD69 AC70:AD73 AD74 AC75:AE95">
    <cfRule type="expression" dxfId="251" priority="189">
      <formula>#REF!=100%</formula>
    </cfRule>
  </conditionalFormatting>
  <conditionalFormatting sqref="AE9:AE12">
    <cfRule type="expression" dxfId="250" priority="329">
      <formula>#REF!=100%</formula>
    </cfRule>
  </conditionalFormatting>
  <conditionalFormatting sqref="AE9:AE95 A45:E47 A61:A70 D64:E67 F64:F70 B68:E70 D75:X90 D91:E94 F91:X95 A55:X58">
    <cfRule type="expression" dxfId="249" priority="331">
      <formula>$AE9="Echue"</formula>
    </cfRule>
  </conditionalFormatting>
  <conditionalFormatting sqref="AE9:AE95 A45:E47 A61:A70 D64:E67 F64:F70 B68:E70 D75:X90 D91:E94 F91:X95">
    <cfRule type="expression" dxfId="248" priority="330">
      <formula>#REF!="Appliqué"</formula>
    </cfRule>
  </conditionalFormatting>
  <conditionalFormatting sqref="AE9:AE95 A45:E47 A55:X58 A61:A70 D64:E67 F64:F70 B68:E70 D75:X90 D91:E94 F91:X95 A9:E12 G9:X12 A13:X19 A20:E25 F20:X40 A26:B40 D26:E40 A41:X44 D48:E50 A48:A54 A75:A77 A78:B94 A95 D61:X63 G68:X68 A71:X73 F45:X46 F47:J50 A59:J60 G64:J67 G69:J69 G70:P70 A74:J74">
    <cfRule type="expression" dxfId="247" priority="332">
      <formula>#REF!="N/A"</formula>
    </cfRule>
  </conditionalFormatting>
  <conditionalFormatting sqref="AE14:AE15">
    <cfRule type="expression" dxfId="246" priority="313">
      <formula>#REF!=100%</formula>
    </cfRule>
  </conditionalFormatting>
  <conditionalFormatting sqref="AE19:AE43">
    <cfRule type="expression" dxfId="245" priority="292">
      <formula>#REF!=100%</formula>
    </cfRule>
  </conditionalFormatting>
  <conditionalFormatting sqref="AE45:AE55">
    <cfRule type="expression" dxfId="244" priority="266">
      <formula>#REF!=100%</formula>
    </cfRule>
  </conditionalFormatting>
  <conditionalFormatting sqref="AE57:AE70">
    <cfRule type="expression" dxfId="243" priority="259">
      <formula>#REF!=100%</formula>
    </cfRule>
  </conditionalFormatting>
  <conditionalFormatting sqref="AE72">
    <cfRule type="expression" dxfId="242" priority="244">
      <formula>#REF!=100%</formula>
    </cfRule>
  </conditionalFormatting>
  <pageMargins left="0.7" right="0.7" top="0.75" bottom="0.75" header="0.3" footer="0.3"/>
  <pageSetup paperSize="9" scale="2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875A-50E8-448E-B3E9-A13F971F619D}">
  <sheetPr>
    <pageSetUpPr fitToPage="1"/>
  </sheetPr>
  <dimension ref="A1:M55"/>
  <sheetViews>
    <sheetView view="pageBreakPreview" zoomScale="80" zoomScaleNormal="100" zoomScaleSheetLayoutView="80" workbookViewId="0">
      <selection activeCell="Q8" sqref="Q8"/>
    </sheetView>
  </sheetViews>
  <sheetFormatPr baseColWidth="10" defaultRowHeight="15"/>
  <cols>
    <col min="1" max="2" width="12.1640625" customWidth="1"/>
    <col min="3" max="3" width="33" customWidth="1"/>
    <col min="4" max="4" width="69.33203125" customWidth="1"/>
    <col min="5" max="5" width="69.83203125" customWidth="1"/>
    <col min="6" max="6" width="62.33203125" customWidth="1"/>
    <col min="7" max="8" width="18.6640625" customWidth="1"/>
    <col min="9" max="9" width="12.83203125" customWidth="1"/>
    <col min="10" max="10" width="13.5" customWidth="1"/>
    <col min="11" max="11" width="14.1640625" bestFit="1" customWidth="1"/>
    <col min="12" max="12" width="16" customWidth="1"/>
    <col min="13" max="13" width="55.33203125" customWidth="1"/>
  </cols>
  <sheetData>
    <row r="1" spans="1:13" s="48" customFormat="1" ht="33">
      <c r="A1" s="109" t="s">
        <v>98</v>
      </c>
      <c r="B1" s="110"/>
      <c r="C1" s="110"/>
      <c r="D1" s="110"/>
      <c r="E1" s="110"/>
      <c r="F1" s="110"/>
      <c r="G1" s="110"/>
      <c r="H1" s="110"/>
      <c r="I1" s="110"/>
      <c r="J1" s="110"/>
      <c r="K1" s="110"/>
      <c r="L1" s="110"/>
      <c r="M1" s="110"/>
    </row>
    <row r="2" spans="1:13" s="40" customFormat="1" ht="18" customHeight="1">
      <c r="A2" s="2" t="s">
        <v>97</v>
      </c>
      <c r="B2" s="2"/>
      <c r="C2" s="2"/>
      <c r="D2" s="2"/>
      <c r="E2" s="2"/>
      <c r="F2" s="2"/>
      <c r="G2" s="2"/>
      <c r="H2" s="2"/>
      <c r="I2" s="2"/>
      <c r="J2" s="2"/>
      <c r="K2" s="82"/>
      <c r="L2" s="82"/>
      <c r="M2" s="82"/>
    </row>
    <row r="3" spans="1:13" s="40" customFormat="1" ht="20.25" customHeight="1">
      <c r="A3" s="2" t="s">
        <v>75</v>
      </c>
      <c r="B3" s="2"/>
      <c r="C3" s="2"/>
      <c r="D3" s="2"/>
      <c r="E3" s="2"/>
      <c r="F3" s="2"/>
      <c r="G3" s="2"/>
      <c r="H3" s="2"/>
      <c r="I3" s="2"/>
      <c r="J3" s="2"/>
      <c r="K3" s="82"/>
      <c r="L3" s="41"/>
      <c r="M3" s="41"/>
    </row>
    <row r="4" spans="1:13" s="40" customFormat="1" ht="20">
      <c r="A4" s="2" t="s">
        <v>69</v>
      </c>
      <c r="B4" s="2"/>
      <c r="C4" s="2"/>
      <c r="D4" s="2"/>
      <c r="E4" s="2"/>
      <c r="F4" s="2"/>
      <c r="G4" s="2"/>
      <c r="H4" s="2"/>
      <c r="I4" s="2"/>
      <c r="J4" s="2"/>
      <c r="K4" s="49">
        <f ca="1">TODAY()</f>
        <v>46183</v>
      </c>
      <c r="L4" s="41"/>
      <c r="M4" s="41"/>
    </row>
    <row r="5" spans="1:13" s="43" customFormat="1" ht="14"/>
    <row r="6" spans="1:13" s="47" customFormat="1" ht="34.5" customHeight="1" thickBot="1">
      <c r="A6" s="111" t="s">
        <v>39</v>
      </c>
      <c r="B6" s="111"/>
      <c r="C6" s="111"/>
      <c r="D6" s="111"/>
      <c r="E6" s="111"/>
      <c r="F6" s="111"/>
      <c r="G6" s="111"/>
      <c r="H6" s="111"/>
      <c r="I6" s="111"/>
      <c r="J6" s="111"/>
      <c r="K6" s="111"/>
      <c r="L6" s="86">
        <f>AVERAGE(L8:L46)</f>
        <v>0.80555555555555558</v>
      </c>
      <c r="M6" s="46"/>
    </row>
    <row r="7" spans="1:13" s="40" customFormat="1" ht="43.5" customHeight="1" thickBot="1">
      <c r="A7" s="44" t="s">
        <v>49</v>
      </c>
      <c r="B7" s="44" t="s">
        <v>787</v>
      </c>
      <c r="C7" s="44" t="s">
        <v>800</v>
      </c>
      <c r="D7" s="44" t="s">
        <v>801</v>
      </c>
      <c r="E7" s="44" t="s">
        <v>100</v>
      </c>
      <c r="F7" s="44" t="s">
        <v>28</v>
      </c>
      <c r="G7" s="44" t="s">
        <v>64</v>
      </c>
      <c r="H7" s="44" t="s">
        <v>70</v>
      </c>
      <c r="I7" s="44" t="s">
        <v>48</v>
      </c>
      <c r="J7" s="44" t="s">
        <v>29</v>
      </c>
      <c r="K7" s="44" t="s">
        <v>30</v>
      </c>
      <c r="L7" s="44" t="s">
        <v>31</v>
      </c>
      <c r="M7" s="44" t="s">
        <v>2</v>
      </c>
    </row>
    <row r="8" spans="1:13" s="40" customFormat="1" ht="39" thickBot="1">
      <c r="A8" s="53" t="s">
        <v>354</v>
      </c>
      <c r="B8" s="53" t="s">
        <v>795</v>
      </c>
      <c r="C8" s="53" t="s">
        <v>802</v>
      </c>
      <c r="D8" s="53" t="s">
        <v>803</v>
      </c>
      <c r="E8" s="50" t="s">
        <v>355</v>
      </c>
      <c r="F8" s="53" t="s">
        <v>356</v>
      </c>
      <c r="G8" s="53" t="s">
        <v>65</v>
      </c>
      <c r="H8" s="53" t="s">
        <v>71</v>
      </c>
      <c r="I8" s="91">
        <v>5.0000000000000001E-3</v>
      </c>
      <c r="J8" s="91">
        <v>5.0000000000000001E-3</v>
      </c>
      <c r="K8" s="91">
        <v>1.14E-2</v>
      </c>
      <c r="L8" s="52">
        <f>IF(H115 = "N/A", "N/A",(I115))</f>
        <v>0</v>
      </c>
      <c r="M8" s="92" t="s">
        <v>804</v>
      </c>
    </row>
    <row r="9" spans="1:13" s="40" customFormat="1" ht="39" thickBot="1">
      <c r="A9" s="53" t="s">
        <v>805</v>
      </c>
      <c r="B9" s="53" t="s">
        <v>794</v>
      </c>
      <c r="C9" s="53" t="s">
        <v>802</v>
      </c>
      <c r="D9" s="53" t="s">
        <v>803</v>
      </c>
      <c r="E9" s="50" t="s">
        <v>806</v>
      </c>
      <c r="F9" s="53" t="s">
        <v>703</v>
      </c>
      <c r="G9" s="53" t="s">
        <v>65</v>
      </c>
      <c r="H9" s="53" t="s">
        <v>71</v>
      </c>
      <c r="I9" s="54">
        <v>0</v>
      </c>
      <c r="J9" s="83">
        <v>0</v>
      </c>
      <c r="K9" s="83">
        <v>0</v>
      </c>
      <c r="L9" s="52">
        <v>1</v>
      </c>
      <c r="M9" s="50"/>
    </row>
    <row r="10" spans="1:13" s="40" customFormat="1" ht="39" thickBot="1">
      <c r="A10" s="53" t="s">
        <v>131</v>
      </c>
      <c r="B10" s="53" t="s">
        <v>789</v>
      </c>
      <c r="C10" s="53" t="s">
        <v>802</v>
      </c>
      <c r="D10" s="53" t="s">
        <v>803</v>
      </c>
      <c r="E10" s="50" t="s">
        <v>129</v>
      </c>
      <c r="F10" s="53" t="s">
        <v>130</v>
      </c>
      <c r="G10" s="53" t="s">
        <v>65</v>
      </c>
      <c r="H10" s="53" t="s">
        <v>71</v>
      </c>
      <c r="I10" s="54">
        <v>1</v>
      </c>
      <c r="J10" s="83">
        <v>1</v>
      </c>
      <c r="K10" s="83">
        <v>0.93</v>
      </c>
      <c r="L10" s="52">
        <f t="shared" ref="L10:L25" si="0">IF(J10="N/A","N/A",(K10/J10))</f>
        <v>0.93</v>
      </c>
      <c r="M10" s="50"/>
    </row>
    <row r="11" spans="1:13" s="40" customFormat="1" ht="39" thickBot="1">
      <c r="A11" s="53" t="s">
        <v>131</v>
      </c>
      <c r="B11" s="53" t="s">
        <v>789</v>
      </c>
      <c r="C11" s="53" t="s">
        <v>802</v>
      </c>
      <c r="D11" s="53" t="s">
        <v>803</v>
      </c>
      <c r="E11" s="50" t="s">
        <v>351</v>
      </c>
      <c r="F11" s="53" t="s">
        <v>352</v>
      </c>
      <c r="G11" s="53" t="s">
        <v>65</v>
      </c>
      <c r="H11" s="53" t="s">
        <v>102</v>
      </c>
      <c r="I11" s="54">
        <v>1</v>
      </c>
      <c r="J11" s="83">
        <v>1</v>
      </c>
      <c r="K11" s="83">
        <v>1</v>
      </c>
      <c r="L11" s="52">
        <f t="shared" si="0"/>
        <v>1</v>
      </c>
      <c r="M11" s="50"/>
    </row>
    <row r="12" spans="1:13" s="40" customFormat="1" ht="35.25" customHeight="1" thickBot="1">
      <c r="A12" s="53" t="s">
        <v>303</v>
      </c>
      <c r="B12" s="53" t="s">
        <v>797</v>
      </c>
      <c r="C12" s="53" t="s">
        <v>802</v>
      </c>
      <c r="D12" s="53" t="s">
        <v>803</v>
      </c>
      <c r="E12" s="50" t="s">
        <v>301</v>
      </c>
      <c r="F12" s="53" t="s">
        <v>302</v>
      </c>
      <c r="G12" s="53" t="s">
        <v>65</v>
      </c>
      <c r="H12" s="53" t="s">
        <v>152</v>
      </c>
      <c r="I12" s="54">
        <v>1</v>
      </c>
      <c r="J12" s="83">
        <v>1</v>
      </c>
      <c r="K12" s="83">
        <v>1</v>
      </c>
      <c r="L12" s="52">
        <f t="shared" si="0"/>
        <v>1</v>
      </c>
      <c r="M12" s="50" t="s">
        <v>353</v>
      </c>
    </row>
    <row r="13" spans="1:13" s="40" customFormat="1" ht="58" thickBot="1">
      <c r="A13" s="53" t="s">
        <v>219</v>
      </c>
      <c r="B13" s="53" t="s">
        <v>794</v>
      </c>
      <c r="C13" s="53" t="s">
        <v>802</v>
      </c>
      <c r="D13" s="53" t="s">
        <v>807</v>
      </c>
      <c r="E13" s="50" t="s">
        <v>217</v>
      </c>
      <c r="F13" s="53" t="s">
        <v>218</v>
      </c>
      <c r="G13" s="53" t="s">
        <v>65</v>
      </c>
      <c r="H13" s="53" t="s">
        <v>71</v>
      </c>
      <c r="I13" s="54">
        <v>1</v>
      </c>
      <c r="J13" s="83">
        <v>1</v>
      </c>
      <c r="K13" s="83">
        <v>1</v>
      </c>
      <c r="L13" s="52">
        <f t="shared" si="0"/>
        <v>1</v>
      </c>
      <c r="M13" s="50"/>
    </row>
    <row r="14" spans="1:13" s="40" customFormat="1" ht="39" thickBot="1">
      <c r="A14" s="53" t="s">
        <v>131</v>
      </c>
      <c r="B14" s="53" t="s">
        <v>789</v>
      </c>
      <c r="C14" s="53" t="s">
        <v>802</v>
      </c>
      <c r="D14" s="53" t="s">
        <v>807</v>
      </c>
      <c r="E14" s="50" t="s">
        <v>378</v>
      </c>
      <c r="F14" s="50" t="s">
        <v>379</v>
      </c>
      <c r="G14" s="53" t="s">
        <v>65</v>
      </c>
      <c r="H14" s="53" t="s">
        <v>99</v>
      </c>
      <c r="I14" s="54">
        <v>1</v>
      </c>
      <c r="J14" s="83">
        <v>1</v>
      </c>
      <c r="K14" s="83">
        <v>1</v>
      </c>
      <c r="L14" s="52">
        <f t="shared" si="0"/>
        <v>1</v>
      </c>
      <c r="M14" s="50"/>
    </row>
    <row r="15" spans="1:13" s="40" customFormat="1" ht="39" thickBot="1">
      <c r="A15" s="53" t="s">
        <v>186</v>
      </c>
      <c r="B15" s="53" t="s">
        <v>792</v>
      </c>
      <c r="C15" s="53" t="s">
        <v>802</v>
      </c>
      <c r="D15" s="53" t="s">
        <v>807</v>
      </c>
      <c r="E15" s="50" t="s">
        <v>425</v>
      </c>
      <c r="F15" s="50" t="s">
        <v>426</v>
      </c>
      <c r="G15" s="53" t="s">
        <v>65</v>
      </c>
      <c r="H15" s="53" t="s">
        <v>71</v>
      </c>
      <c r="I15" s="54">
        <v>1</v>
      </c>
      <c r="J15" s="83">
        <v>1</v>
      </c>
      <c r="K15" s="83">
        <v>1</v>
      </c>
      <c r="L15" s="52">
        <f t="shared" si="0"/>
        <v>1</v>
      </c>
      <c r="M15" s="50"/>
    </row>
    <row r="16" spans="1:13" s="40" customFormat="1" ht="39" thickBot="1">
      <c r="A16" s="53" t="s">
        <v>165</v>
      </c>
      <c r="B16" s="53" t="s">
        <v>791</v>
      </c>
      <c r="C16" s="53" t="s">
        <v>802</v>
      </c>
      <c r="D16" s="53" t="s">
        <v>808</v>
      </c>
      <c r="E16" s="50" t="s">
        <v>164</v>
      </c>
      <c r="F16" s="53" t="s">
        <v>166</v>
      </c>
      <c r="G16" s="53" t="s">
        <v>65</v>
      </c>
      <c r="H16" s="53" t="s">
        <v>167</v>
      </c>
      <c r="I16" s="54">
        <v>1</v>
      </c>
      <c r="J16" s="83">
        <v>1</v>
      </c>
      <c r="K16" s="83">
        <v>1</v>
      </c>
      <c r="L16" s="52">
        <f t="shared" si="0"/>
        <v>1</v>
      </c>
      <c r="M16" s="50"/>
    </row>
    <row r="17" spans="1:13" s="40" customFormat="1" ht="33.75" customHeight="1" thickBot="1">
      <c r="A17" s="53" t="s">
        <v>303</v>
      </c>
      <c r="B17" s="53" t="s">
        <v>797</v>
      </c>
      <c r="C17" s="53" t="s">
        <v>802</v>
      </c>
      <c r="D17" s="53" t="s">
        <v>809</v>
      </c>
      <c r="E17" s="50" t="s">
        <v>304</v>
      </c>
      <c r="F17" s="53" t="s">
        <v>305</v>
      </c>
      <c r="G17" s="53" t="s">
        <v>65</v>
      </c>
      <c r="H17" s="53" t="s">
        <v>78</v>
      </c>
      <c r="I17" s="54">
        <v>1</v>
      </c>
      <c r="J17" s="83">
        <v>1</v>
      </c>
      <c r="K17" s="83">
        <v>1</v>
      </c>
      <c r="L17" s="52">
        <f t="shared" si="0"/>
        <v>1</v>
      </c>
      <c r="M17" s="50"/>
    </row>
    <row r="18" spans="1:13" s="40" customFormat="1" ht="33.75" customHeight="1" thickBot="1">
      <c r="A18" s="53" t="s">
        <v>101</v>
      </c>
      <c r="B18" s="53" t="s">
        <v>788</v>
      </c>
      <c r="C18" s="53" t="s">
        <v>363</v>
      </c>
      <c r="D18" s="53" t="s">
        <v>810</v>
      </c>
      <c r="E18" s="50" t="s">
        <v>357</v>
      </c>
      <c r="F18" s="50" t="s">
        <v>358</v>
      </c>
      <c r="G18" s="53" t="s">
        <v>65</v>
      </c>
      <c r="H18" s="53" t="s">
        <v>71</v>
      </c>
      <c r="I18" s="54">
        <v>1</v>
      </c>
      <c r="J18" s="83">
        <v>1</v>
      </c>
      <c r="K18" s="83">
        <v>1</v>
      </c>
      <c r="L18" s="52">
        <f t="shared" si="0"/>
        <v>1</v>
      </c>
      <c r="M18" s="50"/>
    </row>
    <row r="19" spans="1:13" s="40" customFormat="1" ht="33.75" customHeight="1" thickBot="1">
      <c r="A19" s="53" t="s">
        <v>101</v>
      </c>
      <c r="B19" s="53" t="s">
        <v>788</v>
      </c>
      <c r="C19" s="53" t="s">
        <v>363</v>
      </c>
      <c r="D19" s="53" t="s">
        <v>811</v>
      </c>
      <c r="E19" s="50" t="s">
        <v>369</v>
      </c>
      <c r="F19" s="53" t="s">
        <v>80</v>
      </c>
      <c r="G19" s="53" t="s">
        <v>65</v>
      </c>
      <c r="H19" s="53" t="s">
        <v>71</v>
      </c>
      <c r="I19" s="54">
        <v>1</v>
      </c>
      <c r="J19" s="83">
        <v>1</v>
      </c>
      <c r="K19" s="83">
        <v>1</v>
      </c>
      <c r="L19" s="52">
        <f t="shared" si="0"/>
        <v>1</v>
      </c>
      <c r="M19" s="50"/>
    </row>
    <row r="20" spans="1:13" s="40" customFormat="1" ht="21" thickBot="1">
      <c r="A20" s="53" t="s">
        <v>101</v>
      </c>
      <c r="B20" s="53" t="s">
        <v>788</v>
      </c>
      <c r="C20" s="53" t="s">
        <v>363</v>
      </c>
      <c r="D20" s="53" t="s">
        <v>812</v>
      </c>
      <c r="E20" s="50" t="s">
        <v>371</v>
      </c>
      <c r="F20" s="53" t="s">
        <v>84</v>
      </c>
      <c r="G20" s="53" t="s">
        <v>65</v>
      </c>
      <c r="H20" s="53" t="s">
        <v>78</v>
      </c>
      <c r="I20" s="54">
        <v>1</v>
      </c>
      <c r="J20" s="83">
        <v>1</v>
      </c>
      <c r="K20" s="83">
        <v>1</v>
      </c>
      <c r="L20" s="52">
        <f t="shared" si="0"/>
        <v>1</v>
      </c>
      <c r="M20" s="50"/>
    </row>
    <row r="21" spans="1:13" s="40" customFormat="1" ht="58" thickBot="1">
      <c r="A21" s="53" t="s">
        <v>219</v>
      </c>
      <c r="B21" s="53" t="s">
        <v>794</v>
      </c>
      <c r="C21" s="53" t="s">
        <v>361</v>
      </c>
      <c r="D21" s="53" t="s">
        <v>813</v>
      </c>
      <c r="E21" s="50" t="s">
        <v>439</v>
      </c>
      <c r="F21" s="50" t="s">
        <v>440</v>
      </c>
      <c r="G21" s="53" t="s">
        <v>65</v>
      </c>
      <c r="H21" s="53" t="s">
        <v>167</v>
      </c>
      <c r="I21" s="54">
        <v>1</v>
      </c>
      <c r="J21" s="83" t="s">
        <v>63</v>
      </c>
      <c r="K21" s="83" t="s">
        <v>63</v>
      </c>
      <c r="L21" s="52" t="str">
        <f t="shared" si="0"/>
        <v>N/A</v>
      </c>
      <c r="M21" s="50"/>
    </row>
    <row r="22" spans="1:13" s="40" customFormat="1" ht="39" thickBot="1">
      <c r="A22" s="53" t="s">
        <v>219</v>
      </c>
      <c r="B22" s="53" t="s">
        <v>794</v>
      </c>
      <c r="C22" s="53" t="s">
        <v>361</v>
      </c>
      <c r="D22" s="53" t="s">
        <v>813</v>
      </c>
      <c r="E22" s="50" t="s">
        <v>441</v>
      </c>
      <c r="F22" s="50" t="s">
        <v>442</v>
      </c>
      <c r="G22" s="53" t="s">
        <v>65</v>
      </c>
      <c r="H22" s="53" t="s">
        <v>167</v>
      </c>
      <c r="I22" s="54">
        <v>1</v>
      </c>
      <c r="J22" s="83" t="s">
        <v>63</v>
      </c>
      <c r="K22" s="83" t="s">
        <v>63</v>
      </c>
      <c r="L22" s="52" t="str">
        <f t="shared" si="0"/>
        <v>N/A</v>
      </c>
      <c r="M22" s="50"/>
    </row>
    <row r="23" spans="1:13" s="40" customFormat="1" ht="39" thickBot="1">
      <c r="A23" s="53" t="s">
        <v>219</v>
      </c>
      <c r="B23" s="53" t="s">
        <v>794</v>
      </c>
      <c r="C23" s="53" t="s">
        <v>361</v>
      </c>
      <c r="D23" s="53" t="s">
        <v>814</v>
      </c>
      <c r="E23" s="50" t="s">
        <v>448</v>
      </c>
      <c r="F23" s="51" t="s">
        <v>444</v>
      </c>
      <c r="G23" s="53" t="s">
        <v>65</v>
      </c>
      <c r="H23" s="53" t="s">
        <v>167</v>
      </c>
      <c r="I23" s="54">
        <v>1</v>
      </c>
      <c r="J23" s="83">
        <v>1</v>
      </c>
      <c r="K23" s="83">
        <v>0.22</v>
      </c>
      <c r="L23" s="52">
        <f t="shared" si="0"/>
        <v>0.22</v>
      </c>
      <c r="M23" s="50"/>
    </row>
    <row r="24" spans="1:13" s="40" customFormat="1" ht="39" thickBot="1">
      <c r="A24" s="53" t="s">
        <v>219</v>
      </c>
      <c r="B24" s="53" t="s">
        <v>794</v>
      </c>
      <c r="C24" s="53" t="s">
        <v>361</v>
      </c>
      <c r="D24" s="53" t="s">
        <v>814</v>
      </c>
      <c r="E24" s="50" t="s">
        <v>220</v>
      </c>
      <c r="F24" s="50" t="s">
        <v>221</v>
      </c>
      <c r="G24" s="53" t="s">
        <v>65</v>
      </c>
      <c r="H24" s="53" t="s">
        <v>167</v>
      </c>
      <c r="I24" s="54">
        <v>1</v>
      </c>
      <c r="J24" s="83" t="s">
        <v>63</v>
      </c>
      <c r="K24" s="83" t="s">
        <v>63</v>
      </c>
      <c r="L24" s="52" t="str">
        <f t="shared" si="0"/>
        <v>N/A</v>
      </c>
      <c r="M24" s="50"/>
    </row>
    <row r="25" spans="1:13" s="40" customFormat="1" ht="21" thickBot="1">
      <c r="A25" s="53" t="s">
        <v>202</v>
      </c>
      <c r="B25" s="53" t="s">
        <v>793</v>
      </c>
      <c r="C25" s="53" t="s">
        <v>361</v>
      </c>
      <c r="D25" s="53" t="s">
        <v>815</v>
      </c>
      <c r="E25" s="50" t="s">
        <v>203</v>
      </c>
      <c r="F25" s="53" t="s">
        <v>204</v>
      </c>
      <c r="G25" s="53" t="s">
        <v>65</v>
      </c>
      <c r="H25" s="53" t="s">
        <v>73</v>
      </c>
      <c r="I25" s="54">
        <v>1</v>
      </c>
      <c r="J25" s="83">
        <v>1</v>
      </c>
      <c r="K25" s="83">
        <v>1</v>
      </c>
      <c r="L25" s="52">
        <f t="shared" si="0"/>
        <v>1</v>
      </c>
      <c r="M25" s="50"/>
    </row>
    <row r="26" spans="1:13" s="40" customFormat="1" ht="39" thickBot="1">
      <c r="A26" s="53" t="s">
        <v>502</v>
      </c>
      <c r="B26" s="53" t="s">
        <v>796</v>
      </c>
      <c r="C26" s="53" t="s">
        <v>361</v>
      </c>
      <c r="D26" s="53" t="s">
        <v>815</v>
      </c>
      <c r="E26" s="50" t="s">
        <v>503</v>
      </c>
      <c r="F26" s="89" t="s">
        <v>504</v>
      </c>
      <c r="G26" s="53" t="s">
        <v>65</v>
      </c>
      <c r="H26" s="53" t="s">
        <v>85</v>
      </c>
      <c r="I26" s="54">
        <v>1</v>
      </c>
      <c r="J26" s="83">
        <v>1</v>
      </c>
      <c r="K26" s="83">
        <v>1</v>
      </c>
      <c r="L26" s="52">
        <f t="shared" ref="L26:L28" si="1">IF(J26="N/A","N/A",(K26/J26))</f>
        <v>1</v>
      </c>
      <c r="M26" s="50"/>
    </row>
    <row r="27" spans="1:13" s="40" customFormat="1" ht="39" thickBot="1">
      <c r="A27" s="53" t="s">
        <v>318</v>
      </c>
      <c r="B27" s="53" t="s">
        <v>798</v>
      </c>
      <c r="C27" s="53" t="s">
        <v>361</v>
      </c>
      <c r="D27" s="53" t="s">
        <v>815</v>
      </c>
      <c r="E27" s="50" t="s">
        <v>516</v>
      </c>
      <c r="F27" s="50" t="s">
        <v>517</v>
      </c>
      <c r="G27" s="53" t="s">
        <v>65</v>
      </c>
      <c r="H27" s="53" t="s">
        <v>78</v>
      </c>
      <c r="I27" s="54">
        <v>1</v>
      </c>
      <c r="J27" s="83">
        <v>1</v>
      </c>
      <c r="K27" s="83">
        <v>1</v>
      </c>
      <c r="L27" s="52">
        <f t="shared" si="1"/>
        <v>1</v>
      </c>
      <c r="M27" s="50"/>
    </row>
    <row r="28" spans="1:13" s="40" customFormat="1" ht="39" thickBot="1">
      <c r="A28" s="53" t="s">
        <v>318</v>
      </c>
      <c r="B28" s="53" t="s">
        <v>798</v>
      </c>
      <c r="C28" s="53" t="s">
        <v>361</v>
      </c>
      <c r="D28" s="53" t="s">
        <v>815</v>
      </c>
      <c r="E28" s="50" t="s">
        <v>518</v>
      </c>
      <c r="F28" s="50" t="s">
        <v>519</v>
      </c>
      <c r="G28" s="53" t="s">
        <v>65</v>
      </c>
      <c r="H28" s="53" t="s">
        <v>78</v>
      </c>
      <c r="I28" s="54">
        <v>1</v>
      </c>
      <c r="J28" s="83">
        <v>1</v>
      </c>
      <c r="K28" s="83">
        <v>1</v>
      </c>
      <c r="L28" s="52">
        <f t="shared" si="1"/>
        <v>1</v>
      </c>
      <c r="M28" s="50"/>
    </row>
    <row r="29" spans="1:13" s="40" customFormat="1" ht="39" thickBot="1">
      <c r="A29" s="53" t="s">
        <v>336</v>
      </c>
      <c r="B29" s="53" t="s">
        <v>799</v>
      </c>
      <c r="C29" s="53" t="s">
        <v>362</v>
      </c>
      <c r="D29" s="53" t="s">
        <v>816</v>
      </c>
      <c r="E29" s="50" t="s">
        <v>542</v>
      </c>
      <c r="F29" s="51" t="s">
        <v>326</v>
      </c>
      <c r="G29" s="53" t="s">
        <v>65</v>
      </c>
      <c r="H29" s="53" t="s">
        <v>71</v>
      </c>
      <c r="I29" s="54">
        <v>1</v>
      </c>
      <c r="J29" s="83">
        <v>1</v>
      </c>
      <c r="K29" s="83">
        <v>1</v>
      </c>
      <c r="L29" s="52">
        <f>IF(J29="N/A","N/A",(K29/J29))</f>
        <v>1</v>
      </c>
      <c r="M29" s="50"/>
    </row>
    <row r="30" spans="1:13" s="40" customFormat="1" ht="39" thickBot="1">
      <c r="A30" s="53" t="s">
        <v>336</v>
      </c>
      <c r="B30" s="53" t="s">
        <v>799</v>
      </c>
      <c r="C30" s="53" t="s">
        <v>362</v>
      </c>
      <c r="D30" s="53" t="s">
        <v>816</v>
      </c>
      <c r="E30" s="50" t="s">
        <v>598</v>
      </c>
      <c r="F30" s="51" t="s">
        <v>599</v>
      </c>
      <c r="G30" s="53" t="s">
        <v>65</v>
      </c>
      <c r="H30" s="53" t="s">
        <v>71</v>
      </c>
      <c r="I30" s="54">
        <v>1</v>
      </c>
      <c r="J30" s="83">
        <v>1</v>
      </c>
      <c r="K30" s="83">
        <v>1</v>
      </c>
      <c r="L30" s="52">
        <f>IF(J30="N/A","N/A",(K30/J30))</f>
        <v>1</v>
      </c>
      <c r="M30" s="50"/>
    </row>
    <row r="31" spans="1:13" s="40" customFormat="1" ht="39" thickBot="1">
      <c r="A31" s="53" t="s">
        <v>336</v>
      </c>
      <c r="B31" s="53" t="s">
        <v>799</v>
      </c>
      <c r="C31" s="53" t="s">
        <v>362</v>
      </c>
      <c r="D31" s="53" t="s">
        <v>816</v>
      </c>
      <c r="E31" s="50" t="s">
        <v>337</v>
      </c>
      <c r="F31" s="53" t="s">
        <v>338</v>
      </c>
      <c r="G31" s="53" t="s">
        <v>65</v>
      </c>
      <c r="H31" s="53" t="s">
        <v>71</v>
      </c>
      <c r="I31" s="54">
        <v>1</v>
      </c>
      <c r="J31" s="83">
        <v>1</v>
      </c>
      <c r="K31" s="83">
        <v>1</v>
      </c>
      <c r="L31" s="52">
        <f>IF(J31="N/A","N/A",(K31/J31))</f>
        <v>1</v>
      </c>
      <c r="M31" s="50"/>
    </row>
    <row r="32" spans="1:13" s="40" customFormat="1" ht="39" thickBot="1">
      <c r="A32" s="53" t="s">
        <v>186</v>
      </c>
      <c r="B32" s="53" t="s">
        <v>792</v>
      </c>
      <c r="C32" s="53" t="s">
        <v>362</v>
      </c>
      <c r="D32" s="53" t="s">
        <v>817</v>
      </c>
      <c r="E32" s="50" t="s">
        <v>188</v>
      </c>
      <c r="F32" s="50" t="s">
        <v>189</v>
      </c>
      <c r="G32" s="53" t="s">
        <v>65</v>
      </c>
      <c r="H32" s="53" t="s">
        <v>190</v>
      </c>
      <c r="I32" s="54">
        <v>1</v>
      </c>
      <c r="J32" s="83">
        <v>1</v>
      </c>
      <c r="K32" s="83">
        <v>1</v>
      </c>
      <c r="L32" s="52">
        <f>IF(J32="N/A","N/A",(K32/J32))</f>
        <v>1</v>
      </c>
      <c r="M32" s="50"/>
    </row>
    <row r="33" spans="1:13" s="40" customFormat="1" ht="39" thickBot="1">
      <c r="A33" s="53" t="s">
        <v>151</v>
      </c>
      <c r="B33" s="53" t="s">
        <v>790</v>
      </c>
      <c r="C33" s="53" t="s">
        <v>818</v>
      </c>
      <c r="D33" s="53" t="s">
        <v>819</v>
      </c>
      <c r="E33" s="50" t="s">
        <v>153</v>
      </c>
      <c r="F33" s="53" t="s">
        <v>154</v>
      </c>
      <c r="G33" s="53" t="s">
        <v>65</v>
      </c>
      <c r="H33" s="53" t="s">
        <v>102</v>
      </c>
      <c r="I33" s="54">
        <v>1</v>
      </c>
      <c r="J33" s="83">
        <v>1</v>
      </c>
      <c r="K33" s="83">
        <v>1</v>
      </c>
      <c r="L33" s="52">
        <f t="shared" ref="L33:L46" si="2">IF(J33="N/A","N/A",(K33/J33))</f>
        <v>1</v>
      </c>
      <c r="M33" s="50"/>
    </row>
    <row r="34" spans="1:13" s="40" customFormat="1" ht="77" thickBot="1">
      <c r="A34" s="53" t="s">
        <v>502</v>
      </c>
      <c r="B34" s="53" t="s">
        <v>796</v>
      </c>
      <c r="C34" s="53" t="s">
        <v>818</v>
      </c>
      <c r="D34" s="53" t="s">
        <v>820</v>
      </c>
      <c r="E34" s="50" t="s">
        <v>505</v>
      </c>
      <c r="F34" s="89" t="s">
        <v>506</v>
      </c>
      <c r="G34" s="53" t="s">
        <v>65</v>
      </c>
      <c r="H34" s="53" t="s">
        <v>78</v>
      </c>
      <c r="I34" s="54">
        <v>1</v>
      </c>
      <c r="J34" s="83">
        <v>1</v>
      </c>
      <c r="K34" s="83">
        <v>1</v>
      </c>
      <c r="L34" s="52">
        <f t="shared" si="2"/>
        <v>1</v>
      </c>
      <c r="M34" s="50"/>
    </row>
    <row r="35" spans="1:13" s="40" customFormat="1" ht="77" thickBot="1">
      <c r="A35" s="53" t="s">
        <v>502</v>
      </c>
      <c r="B35" s="53" t="s">
        <v>796</v>
      </c>
      <c r="C35" s="53" t="s">
        <v>818</v>
      </c>
      <c r="D35" s="53" t="s">
        <v>820</v>
      </c>
      <c r="E35" s="50" t="s">
        <v>821</v>
      </c>
      <c r="F35" s="50" t="s">
        <v>822</v>
      </c>
      <c r="G35" s="53" t="s">
        <v>65</v>
      </c>
      <c r="H35" s="53" t="s">
        <v>78</v>
      </c>
      <c r="I35" s="54">
        <v>1</v>
      </c>
      <c r="J35" s="83">
        <v>1</v>
      </c>
      <c r="K35" s="83">
        <v>1</v>
      </c>
      <c r="L35" s="52">
        <f t="shared" si="2"/>
        <v>1</v>
      </c>
      <c r="M35" s="50"/>
    </row>
    <row r="36" spans="1:13" s="40" customFormat="1" ht="77" thickBot="1">
      <c r="A36" s="53" t="s">
        <v>502</v>
      </c>
      <c r="B36" s="53" t="s">
        <v>796</v>
      </c>
      <c r="C36" s="53" t="s">
        <v>818</v>
      </c>
      <c r="D36" s="53" t="s">
        <v>820</v>
      </c>
      <c r="E36" s="50" t="s">
        <v>821</v>
      </c>
      <c r="F36" s="50" t="s">
        <v>823</v>
      </c>
      <c r="G36" s="53" t="s">
        <v>65</v>
      </c>
      <c r="H36" s="53" t="s">
        <v>78</v>
      </c>
      <c r="I36" s="54">
        <v>1</v>
      </c>
      <c r="J36" s="83">
        <v>1</v>
      </c>
      <c r="K36" s="83">
        <v>1</v>
      </c>
      <c r="L36" s="52">
        <f t="shared" si="2"/>
        <v>1</v>
      </c>
      <c r="M36" s="50"/>
    </row>
    <row r="37" spans="1:13" s="40" customFormat="1" ht="77" thickBot="1">
      <c r="A37" s="53" t="s">
        <v>502</v>
      </c>
      <c r="B37" s="53" t="s">
        <v>796</v>
      </c>
      <c r="C37" s="53" t="s">
        <v>818</v>
      </c>
      <c r="D37" s="53" t="s">
        <v>820</v>
      </c>
      <c r="E37" s="50" t="s">
        <v>821</v>
      </c>
      <c r="F37" s="50" t="s">
        <v>824</v>
      </c>
      <c r="G37" s="53" t="s">
        <v>65</v>
      </c>
      <c r="H37" s="53" t="s">
        <v>78</v>
      </c>
      <c r="I37" s="54">
        <v>1</v>
      </c>
      <c r="J37" s="83">
        <v>1</v>
      </c>
      <c r="K37" s="83">
        <v>0</v>
      </c>
      <c r="L37" s="52">
        <f t="shared" si="2"/>
        <v>0</v>
      </c>
      <c r="M37" s="50"/>
    </row>
    <row r="38" spans="1:13" s="40" customFormat="1" ht="77" thickBot="1">
      <c r="A38" s="53" t="s">
        <v>502</v>
      </c>
      <c r="B38" s="53" t="s">
        <v>796</v>
      </c>
      <c r="C38" s="53" t="s">
        <v>818</v>
      </c>
      <c r="D38" s="53" t="s">
        <v>820</v>
      </c>
      <c r="E38" s="50" t="s">
        <v>825</v>
      </c>
      <c r="F38" s="50" t="s">
        <v>823</v>
      </c>
      <c r="G38" s="53" t="s">
        <v>65</v>
      </c>
      <c r="H38" s="53" t="s">
        <v>78</v>
      </c>
      <c r="I38" s="54">
        <v>1</v>
      </c>
      <c r="J38" s="83">
        <v>1</v>
      </c>
      <c r="K38" s="83">
        <v>1</v>
      </c>
      <c r="L38" s="52">
        <f t="shared" si="2"/>
        <v>1</v>
      </c>
      <c r="M38" s="50"/>
    </row>
    <row r="39" spans="1:13" s="40" customFormat="1" ht="77" thickBot="1">
      <c r="A39" s="53" t="s">
        <v>502</v>
      </c>
      <c r="B39" s="53" t="s">
        <v>796</v>
      </c>
      <c r="C39" s="53" t="s">
        <v>818</v>
      </c>
      <c r="D39" s="53" t="s">
        <v>820</v>
      </c>
      <c r="E39" s="50" t="s">
        <v>826</v>
      </c>
      <c r="F39" s="50" t="s">
        <v>827</v>
      </c>
      <c r="G39" s="53" t="s">
        <v>65</v>
      </c>
      <c r="H39" s="53" t="s">
        <v>78</v>
      </c>
      <c r="I39" s="54">
        <v>1</v>
      </c>
      <c r="J39" s="83">
        <v>1</v>
      </c>
      <c r="K39" s="83">
        <v>0.5</v>
      </c>
      <c r="L39" s="52">
        <f t="shared" si="2"/>
        <v>0.5</v>
      </c>
      <c r="M39" s="50"/>
    </row>
    <row r="40" spans="1:13" s="40" customFormat="1" ht="77" thickBot="1">
      <c r="A40" s="53" t="s">
        <v>318</v>
      </c>
      <c r="B40" s="53" t="s">
        <v>798</v>
      </c>
      <c r="C40" s="53" t="s">
        <v>818</v>
      </c>
      <c r="D40" s="53" t="s">
        <v>820</v>
      </c>
      <c r="E40" s="50" t="s">
        <v>319</v>
      </c>
      <c r="F40" s="50" t="s">
        <v>520</v>
      </c>
      <c r="G40" s="53" t="s">
        <v>65</v>
      </c>
      <c r="H40" s="53" t="s">
        <v>73</v>
      </c>
      <c r="I40" s="54">
        <v>1</v>
      </c>
      <c r="J40" s="83">
        <v>1</v>
      </c>
      <c r="K40" s="83">
        <v>0.17</v>
      </c>
      <c r="L40" s="52">
        <f t="shared" si="2"/>
        <v>0.17</v>
      </c>
      <c r="M40" s="50"/>
    </row>
    <row r="41" spans="1:13" s="40" customFormat="1" ht="77" thickBot="1">
      <c r="A41" s="53" t="s">
        <v>318</v>
      </c>
      <c r="B41" s="53" t="s">
        <v>798</v>
      </c>
      <c r="C41" s="53" t="s">
        <v>818</v>
      </c>
      <c r="D41" s="53" t="s">
        <v>820</v>
      </c>
      <c r="E41" s="87" t="s">
        <v>521</v>
      </c>
      <c r="F41" s="50" t="s">
        <v>522</v>
      </c>
      <c r="G41" s="53" t="s">
        <v>65</v>
      </c>
      <c r="H41" s="53" t="s">
        <v>78</v>
      </c>
      <c r="I41" s="54">
        <v>1</v>
      </c>
      <c r="J41" s="83">
        <v>1</v>
      </c>
      <c r="K41" s="83">
        <v>1</v>
      </c>
      <c r="L41" s="52">
        <f t="shared" si="2"/>
        <v>1</v>
      </c>
      <c r="M41" s="50"/>
    </row>
    <row r="42" spans="1:13" s="40" customFormat="1" ht="77" thickBot="1">
      <c r="A42" s="53" t="s">
        <v>318</v>
      </c>
      <c r="B42" s="53" t="s">
        <v>798</v>
      </c>
      <c r="C42" s="53" t="s">
        <v>818</v>
      </c>
      <c r="D42" s="53" t="s">
        <v>820</v>
      </c>
      <c r="E42" s="87" t="s">
        <v>320</v>
      </c>
      <c r="F42" s="50" t="s">
        <v>523</v>
      </c>
      <c r="G42" s="53" t="s">
        <v>65</v>
      </c>
      <c r="H42" s="53" t="s">
        <v>78</v>
      </c>
      <c r="I42" s="54">
        <v>1</v>
      </c>
      <c r="J42" s="83">
        <v>1</v>
      </c>
      <c r="K42" s="83">
        <v>0</v>
      </c>
      <c r="L42" s="52">
        <f t="shared" si="2"/>
        <v>0</v>
      </c>
      <c r="M42" s="50"/>
    </row>
    <row r="43" spans="1:13" s="40" customFormat="1" ht="77" thickBot="1">
      <c r="A43" s="53" t="s">
        <v>318</v>
      </c>
      <c r="B43" s="53" t="s">
        <v>798</v>
      </c>
      <c r="C43" s="53" t="s">
        <v>818</v>
      </c>
      <c r="D43" s="53" t="s">
        <v>820</v>
      </c>
      <c r="E43" s="50" t="s">
        <v>524</v>
      </c>
      <c r="F43" s="50" t="s">
        <v>525</v>
      </c>
      <c r="G43" s="53" t="s">
        <v>65</v>
      </c>
      <c r="H43" s="53" t="s">
        <v>73</v>
      </c>
      <c r="I43" s="54">
        <v>1</v>
      </c>
      <c r="J43" s="83">
        <v>1</v>
      </c>
      <c r="K43" s="83">
        <v>0.98</v>
      </c>
      <c r="L43" s="52">
        <f t="shared" si="2"/>
        <v>0.98</v>
      </c>
      <c r="M43" s="50"/>
    </row>
    <row r="44" spans="1:13" s="40" customFormat="1" ht="77" thickBot="1">
      <c r="A44" s="53" t="s">
        <v>318</v>
      </c>
      <c r="B44" s="53" t="s">
        <v>798</v>
      </c>
      <c r="C44" s="53" t="s">
        <v>818</v>
      </c>
      <c r="D44" s="53" t="s">
        <v>820</v>
      </c>
      <c r="E44" s="50" t="s">
        <v>526</v>
      </c>
      <c r="F44" s="50" t="s">
        <v>527</v>
      </c>
      <c r="G44" s="53" t="s">
        <v>65</v>
      </c>
      <c r="H44" s="53" t="s">
        <v>73</v>
      </c>
      <c r="I44" s="54">
        <v>1</v>
      </c>
      <c r="J44" s="83">
        <v>1</v>
      </c>
      <c r="K44" s="83">
        <v>0.64</v>
      </c>
      <c r="L44" s="52">
        <f t="shared" si="2"/>
        <v>0.64</v>
      </c>
      <c r="M44" s="50" t="s">
        <v>828</v>
      </c>
    </row>
    <row r="45" spans="1:13" s="40" customFormat="1" ht="77" thickBot="1">
      <c r="A45" s="53" t="s">
        <v>318</v>
      </c>
      <c r="B45" s="53" t="s">
        <v>798</v>
      </c>
      <c r="C45" s="53" t="s">
        <v>818</v>
      </c>
      <c r="D45" s="53" t="s">
        <v>820</v>
      </c>
      <c r="E45" s="50" t="s">
        <v>528</v>
      </c>
      <c r="F45" s="50" t="s">
        <v>529</v>
      </c>
      <c r="G45" s="53" t="s">
        <v>65</v>
      </c>
      <c r="H45" s="53" t="s">
        <v>73</v>
      </c>
      <c r="I45" s="54">
        <v>1</v>
      </c>
      <c r="J45" s="83">
        <v>1</v>
      </c>
      <c r="K45" s="83">
        <v>0.56000000000000005</v>
      </c>
      <c r="L45" s="52">
        <f t="shared" si="2"/>
        <v>0.56000000000000005</v>
      </c>
      <c r="M45" s="50" t="s">
        <v>829</v>
      </c>
    </row>
    <row r="46" spans="1:13" s="40" customFormat="1" ht="77" thickBot="1">
      <c r="A46" s="53" t="s">
        <v>318</v>
      </c>
      <c r="B46" s="53" t="s">
        <v>798</v>
      </c>
      <c r="C46" s="53" t="s">
        <v>818</v>
      </c>
      <c r="D46" s="53" t="s">
        <v>820</v>
      </c>
      <c r="E46" s="50" t="s">
        <v>530</v>
      </c>
      <c r="F46" s="50" t="s">
        <v>531</v>
      </c>
      <c r="G46" s="53" t="s">
        <v>65</v>
      </c>
      <c r="H46" s="53" t="s">
        <v>73</v>
      </c>
      <c r="I46" s="54">
        <v>1</v>
      </c>
      <c r="J46" s="83">
        <v>1</v>
      </c>
      <c r="K46" s="83">
        <v>0</v>
      </c>
      <c r="L46" s="52">
        <f t="shared" si="2"/>
        <v>0</v>
      </c>
      <c r="M46" s="50" t="s">
        <v>830</v>
      </c>
    </row>
    <row r="49" spans="13:13" ht="17.25" customHeight="1">
      <c r="M49" s="85"/>
    </row>
    <row r="50" spans="13:13" ht="16" thickBot="1">
      <c r="M50" s="35" t="s">
        <v>37</v>
      </c>
    </row>
    <row r="51" spans="13:13" ht="17.25" customHeight="1" thickBot="1">
      <c r="M51" s="37">
        <v>10</v>
      </c>
    </row>
    <row r="52" spans="13:13" ht="19.5" customHeight="1" thickBot="1">
      <c r="M52" s="39">
        <v>30</v>
      </c>
    </row>
    <row r="53" spans="13:13" ht="24.75" customHeight="1" thickBot="1">
      <c r="M53" s="37">
        <v>50</v>
      </c>
    </row>
    <row r="54" spans="13:13" ht="24" customHeight="1" thickBot="1">
      <c r="M54" s="39">
        <v>80</v>
      </c>
    </row>
    <row r="55" spans="13:13" ht="29.25" customHeight="1" thickBot="1">
      <c r="M55" s="37">
        <v>100</v>
      </c>
    </row>
  </sheetData>
  <protectedRanges>
    <protectedRange sqref="M8 M10:M19 M21:M46" name="Plage5"/>
    <protectedRange sqref="M8 M10:M19 M21:M46" name="Plage2"/>
    <protectedRange sqref="J10:K19 J21:K46" name="Plage1"/>
    <protectedRange sqref="J10:K19 J21:K46" name="Plage4"/>
    <protectedRange sqref="J9:K9 J20:K20" name="Plage25_1"/>
    <protectedRange sqref="J9:K9 J20:K20" name="Plage19_1"/>
    <protectedRange sqref="M9 M20" name="Plage17_1"/>
    <protectedRange sqref="K9 K20" name="Plage10_1"/>
    <protectedRange sqref="J9:K9 J20:K20" name="Plage1_2"/>
    <protectedRange sqref="M9 M20" name="Plage2_3"/>
    <protectedRange sqref="M9 M20" name="Plage9_1"/>
    <protectedRange sqref="J9:K9 J20:K20" name="Plage16_1"/>
    <protectedRange sqref="M9 M20" name="Plage18_1"/>
    <protectedRange sqref="M9 M20" name="Plage24_1"/>
  </protectedRanges>
  <autoFilter ref="A7:M46" xr:uid="{6B0C875A-50E8-448E-B3E9-A13F971F619D}"/>
  <mergeCells count="5">
    <mergeCell ref="A1:M1"/>
    <mergeCell ref="A2:J2"/>
    <mergeCell ref="A3:J3"/>
    <mergeCell ref="A4:J4"/>
    <mergeCell ref="A6:K6"/>
  </mergeCells>
  <conditionalFormatting sqref="A18:D32">
    <cfRule type="expression" dxfId="241" priority="55">
      <formula>#REF!=100%</formula>
    </cfRule>
  </conditionalFormatting>
  <conditionalFormatting sqref="A8:H8 L8:M8 A9:M13 A14:D15 G14:M15 A16:M17 G18:M23 A18:D24 I24:M24 A25:M25 B26:D28 I26:M28 A29:D30 G29:M30 A31:M31 A32:D32 I32:M32 A33:M33 G34:M34 A34:D46 G35:H39 I35:M46">
    <cfRule type="expression" dxfId="240" priority="164">
      <formula>$M8="Echue"</formula>
    </cfRule>
    <cfRule type="expression" dxfId="239" priority="163">
      <formula>#REF!="Appliqué"</formula>
    </cfRule>
    <cfRule type="expression" dxfId="238" priority="162">
      <formula>#REF!="N/A"</formula>
    </cfRule>
    <cfRule type="expression" dxfId="237" priority="165">
      <formula>#REF!="N/A"</formula>
    </cfRule>
  </conditionalFormatting>
  <conditionalFormatting sqref="A8:H8 L8:M8 G18:M23 A18:D24 A29:D30 G29:M30 A34:D46 I24:M24 A25:M25 I26:M28 A31:M31 I32:M32 B26:D28 A9:M13 A14:D15 G14:M15 A16:M17 A32:D32 A33:M33 G34:M34 G35:H39 I35:M46">
    <cfRule type="expression" dxfId="236" priority="161">
      <formula>$M8="Echue"</formula>
    </cfRule>
  </conditionalFormatting>
  <conditionalFormatting sqref="A8:H8 L8:M8 G18:M23 A18:D24 A29:D30 G29:M30 A34:D46">
    <cfRule type="expression" dxfId="235" priority="160">
      <formula>#REF!="Appliqué"</formula>
    </cfRule>
  </conditionalFormatting>
  <conditionalFormatting sqref="A8:H8 L8:M8 G18:M23 I24:M32 A25:M25 G29:M30">
    <cfRule type="expression" dxfId="234" priority="159">
      <formula>#REF!=100%</formula>
    </cfRule>
  </conditionalFormatting>
  <conditionalFormatting sqref="A9:M17">
    <cfRule type="expression" dxfId="233" priority="128">
      <formula>#REF!="Appliqué"</formula>
    </cfRule>
    <cfRule type="expression" dxfId="232" priority="124">
      <formula>#REF!=100%</formula>
    </cfRule>
  </conditionalFormatting>
  <conditionalFormatting sqref="A31:M33">
    <cfRule type="expression" dxfId="231" priority="26">
      <formula>#REF!="Appliqué"</formula>
    </cfRule>
  </conditionalFormatting>
  <conditionalFormatting sqref="A33:M46">
    <cfRule type="expression" dxfId="230" priority="1">
      <formula>#REF!=100%</formula>
    </cfRule>
  </conditionalFormatting>
  <conditionalFormatting sqref="E23">
    <cfRule type="expression" dxfId="229" priority="87">
      <formula>$AT23=100%</formula>
    </cfRule>
    <cfRule type="expression" dxfId="228" priority="84">
      <formula>$AT23="N/A"</formula>
    </cfRule>
    <cfRule type="expression" dxfId="227" priority="85">
      <formula>$AR23="Echue"</formula>
    </cfRule>
    <cfRule type="expression" dxfId="226" priority="83">
      <formula>$AR23="Echue"</formula>
    </cfRule>
    <cfRule type="expression" dxfId="225" priority="86">
      <formula>$AT23="N/A"</formula>
    </cfRule>
  </conditionalFormatting>
  <conditionalFormatting sqref="E29">
    <cfRule type="expression" dxfId="224" priority="54">
      <formula>$AT29=100%</formula>
    </cfRule>
    <cfRule type="expression" dxfId="223" priority="53">
      <formula>$AT29="N/A"</formula>
    </cfRule>
    <cfRule type="expression" dxfId="222" priority="52">
      <formula>$AR29="Echue"</formula>
    </cfRule>
    <cfRule type="expression" dxfId="221" priority="51">
      <formula>$AT29="Appliqué"</formula>
    </cfRule>
    <cfRule type="expression" dxfId="220" priority="50">
      <formula>$AT29="N/A"</formula>
    </cfRule>
  </conditionalFormatting>
  <conditionalFormatting sqref="E30">
    <cfRule type="expression" dxfId="219" priority="37">
      <formula>$AT30="Appliqué"</formula>
    </cfRule>
    <cfRule type="expression" dxfId="218" priority="36">
      <formula>$AT30="N/A"</formula>
    </cfRule>
    <cfRule type="expression" dxfId="217" priority="38">
      <formula>$AR30="Echue"</formula>
    </cfRule>
    <cfRule type="expression" dxfId="216" priority="39">
      <formula>$AT30="N/A"</formula>
    </cfRule>
    <cfRule type="expression" dxfId="215" priority="40">
      <formula>$AT30=100%</formula>
    </cfRule>
  </conditionalFormatting>
  <conditionalFormatting sqref="E14:F14 E24:H24 A26:A28 E26:H28">
    <cfRule type="expression" dxfId="214" priority="144">
      <formula>#REF!="N/A"</formula>
    </cfRule>
    <cfRule type="expression" dxfId="213" priority="143">
      <formula>$AH14="Echue"</formula>
    </cfRule>
  </conditionalFormatting>
  <conditionalFormatting sqref="E14:F14 E24:M24 A25:M28">
    <cfRule type="expression" dxfId="212" priority="142">
      <formula>#REF!="Appliqué"</formula>
    </cfRule>
  </conditionalFormatting>
  <conditionalFormatting sqref="E14:F15">
    <cfRule type="expression" dxfId="211" priority="129">
      <formula>$AH14="Echue"</formula>
    </cfRule>
  </conditionalFormatting>
  <conditionalFormatting sqref="E15:F15">
    <cfRule type="expression" dxfId="210" priority="126">
      <formula>$AH15="Echue"</formula>
    </cfRule>
    <cfRule type="expression" dxfId="209" priority="130">
      <formula>#REF!="N/A"</formula>
    </cfRule>
    <cfRule type="expression" dxfId="208" priority="125">
      <formula>#REF!="Appliqué"</formula>
    </cfRule>
    <cfRule type="expression" dxfId="207" priority="127">
      <formula>#REF!="N/A"</formula>
    </cfRule>
  </conditionalFormatting>
  <conditionalFormatting sqref="E18:F18">
    <cfRule type="expression" dxfId="206" priority="103">
      <formula>#REF!=100%</formula>
    </cfRule>
    <cfRule type="expression" dxfId="205" priority="108">
      <formula>$AH18="Echue"</formula>
    </cfRule>
    <cfRule type="expression" dxfId="204" priority="109">
      <formula>#REF!="N/A"</formula>
    </cfRule>
    <cfRule type="expression" dxfId="203" priority="107">
      <formula>#REF!="Appliqué"</formula>
    </cfRule>
    <cfRule type="expression" dxfId="202" priority="106">
      <formula>#REF!="N/A"</formula>
    </cfRule>
    <cfRule type="expression" dxfId="201" priority="105">
      <formula>$AH18="Echue"</formula>
    </cfRule>
    <cfRule type="expression" dxfId="200" priority="104">
      <formula>#REF!="Appliqué"</formula>
    </cfRule>
  </conditionalFormatting>
  <conditionalFormatting sqref="E19:F19">
    <cfRule type="expression" dxfId="199" priority="117">
      <formula>$AT19="Appliqué"</formula>
    </cfRule>
    <cfRule type="expression" dxfId="198" priority="118">
      <formula>$AR19="Echue"</formula>
    </cfRule>
  </conditionalFormatting>
  <conditionalFormatting sqref="E19:F20">
    <cfRule type="expression" dxfId="197" priority="119">
      <formula>$AT19="N/A"</formula>
    </cfRule>
    <cfRule type="expression" dxfId="196" priority="123">
      <formula>$AT19=100%</formula>
    </cfRule>
    <cfRule type="expression" dxfId="195" priority="122">
      <formula>$AT19="N/A"</formula>
    </cfRule>
    <cfRule type="expression" dxfId="194" priority="120">
      <formula>$AT19="Appliqué"</formula>
    </cfRule>
    <cfRule type="expression" dxfId="193" priority="121">
      <formula>$AR19="Echue"</formula>
    </cfRule>
  </conditionalFormatting>
  <conditionalFormatting sqref="E21:F22">
    <cfRule type="expression" dxfId="192" priority="97">
      <formula>#REF!="Appliqué"</formula>
    </cfRule>
    <cfRule type="expression" dxfId="191" priority="96">
      <formula>#REF!=100%</formula>
    </cfRule>
    <cfRule type="expression" dxfId="190" priority="102">
      <formula>#REF!="N/A"</formula>
    </cfRule>
    <cfRule type="expression" dxfId="189" priority="101">
      <formula>$AH21="Echue"</formula>
    </cfRule>
    <cfRule type="expression" dxfId="188" priority="100">
      <formula>#REF!="Appliqué"</formula>
    </cfRule>
    <cfRule type="expression" dxfId="187" priority="99">
      <formula>#REF!="N/A"</formula>
    </cfRule>
    <cfRule type="expression" dxfId="186" priority="98">
      <formula>$AH21="Echue"</formula>
    </cfRule>
  </conditionalFormatting>
  <conditionalFormatting sqref="E23:F23">
    <cfRule type="expression" dxfId="185" priority="91">
      <formula>$AT23="Appliqué"</formula>
    </cfRule>
  </conditionalFormatting>
  <conditionalFormatting sqref="E26:F28 A31:M31">
    <cfRule type="expression" dxfId="184" priority="69">
      <formula>#REF!=100%</formula>
    </cfRule>
  </conditionalFormatting>
  <conditionalFormatting sqref="E29:F29">
    <cfRule type="expression" dxfId="183" priority="46">
      <formula>$AR29="Echue"</formula>
    </cfRule>
    <cfRule type="expression" dxfId="182" priority="45">
      <formula>$AT29="Appliqué"</formula>
    </cfRule>
  </conditionalFormatting>
  <conditionalFormatting sqref="E30:F30">
    <cfRule type="expression" dxfId="181" priority="32">
      <formula>$AR30="Echue"</formula>
    </cfRule>
    <cfRule type="expression" dxfId="180" priority="31">
      <formula>$AT30="Appliqué"</formula>
    </cfRule>
  </conditionalFormatting>
  <conditionalFormatting sqref="E34:F34">
    <cfRule type="expression" dxfId="179" priority="18">
      <formula>#REF!="N/A"</formula>
    </cfRule>
    <cfRule type="expression" dxfId="178" priority="20">
      <formula>$AH34="Echue"</formula>
    </cfRule>
    <cfRule type="expression" dxfId="177" priority="21">
      <formula>#REF!="N/A"</formula>
    </cfRule>
  </conditionalFormatting>
  <conditionalFormatting sqref="E34:F39">
    <cfRule type="expression" dxfId="176" priority="5">
      <formula>#REF!="Appliqué"</formula>
    </cfRule>
    <cfRule type="expression" dxfId="175" priority="6">
      <formula>$AH34="Echue"</formula>
    </cfRule>
  </conditionalFormatting>
  <conditionalFormatting sqref="E35:F39">
    <cfRule type="expression" dxfId="174" priority="3">
      <formula>$AH35="Echue"</formula>
    </cfRule>
    <cfRule type="expression" dxfId="173" priority="4">
      <formula>#REF!="N/A"</formula>
    </cfRule>
    <cfRule type="expression" dxfId="172" priority="7">
      <formula>#REF!="N/A"</formula>
    </cfRule>
  </conditionalFormatting>
  <conditionalFormatting sqref="E24:H24 A26:A28 E26:H28 E14:F14">
    <cfRule type="expression" dxfId="171" priority="141">
      <formula>#REF!="N/A"</formula>
    </cfRule>
  </conditionalFormatting>
  <conditionalFormatting sqref="E24:H24 A26:A28 E26:H28">
    <cfRule type="expression" dxfId="170" priority="139">
      <formula>#REF!="Appliqué"</formula>
    </cfRule>
    <cfRule type="expression" dxfId="169" priority="140">
      <formula>$AH24="Echue"</formula>
    </cfRule>
  </conditionalFormatting>
  <conditionalFormatting sqref="E24:H25">
    <cfRule type="expression" dxfId="168" priority="76">
      <formula>#REF!=100%</formula>
    </cfRule>
  </conditionalFormatting>
  <conditionalFormatting sqref="E32:H32">
    <cfRule type="expression" dxfId="167" priority="24">
      <formula>$AH32="Echue"</formula>
    </cfRule>
    <cfRule type="expression" dxfId="166" priority="22">
      <formula>#REF!=100%</formula>
    </cfRule>
    <cfRule type="expression" dxfId="165" priority="23">
      <formula>#REF!="Appliqué"</formula>
    </cfRule>
    <cfRule type="expression" dxfId="164" priority="28">
      <formula>#REF!="N/A"</formula>
    </cfRule>
    <cfRule type="expression" dxfId="163" priority="27">
      <formula>$AH32="Echue"</formula>
    </cfRule>
    <cfRule type="expression" dxfId="162" priority="25">
      <formula>#REF!="N/A"</formula>
    </cfRule>
  </conditionalFormatting>
  <conditionalFormatting sqref="E40:H46">
    <cfRule type="expression" dxfId="161" priority="13">
      <formula>$AH40="Echue"</formula>
    </cfRule>
    <cfRule type="expression" dxfId="160" priority="12">
      <formula>#REF!="Appliqué"</formula>
    </cfRule>
    <cfRule type="expression" dxfId="159" priority="11">
      <formula>#REF!="N/A"</formula>
    </cfRule>
    <cfRule type="expression" dxfId="158" priority="14">
      <formula>#REF!="N/A"</formula>
    </cfRule>
    <cfRule type="expression" dxfId="157" priority="10">
      <formula>$AH40="Echue"</formula>
    </cfRule>
  </conditionalFormatting>
  <conditionalFormatting sqref="E34:M34">
    <cfRule type="expression" dxfId="156" priority="19">
      <formula>#REF!="Appliqué"</formula>
    </cfRule>
  </conditionalFormatting>
  <conditionalFormatting sqref="E35:M46">
    <cfRule type="expression" dxfId="155" priority="2">
      <formula>#REF!="Appliqué"</formula>
    </cfRule>
  </conditionalFormatting>
  <conditionalFormatting sqref="F23">
    <cfRule type="expression" dxfId="154" priority="94">
      <formula>$AT23=100%</formula>
    </cfRule>
    <cfRule type="expression" dxfId="153" priority="90">
      <formula>$AT23="N/A"</formula>
    </cfRule>
    <cfRule type="expression" dxfId="152" priority="93">
      <formula>$AT23="N/A"</formula>
    </cfRule>
    <cfRule type="expression" dxfId="151" priority="92">
      <formula>$AR23="Echue"</formula>
    </cfRule>
    <cfRule type="expression" dxfId="150" priority="89">
      <formula>$AR23="Echue"</formula>
    </cfRule>
    <cfRule type="expression" dxfId="149" priority="88">
      <formula>$AT23="Appliqué"</formula>
    </cfRule>
  </conditionalFormatting>
  <conditionalFormatting sqref="F29">
    <cfRule type="expression" dxfId="148" priority="43">
      <formula>$AR29="Echue"</formula>
    </cfRule>
    <cfRule type="expression" dxfId="147" priority="44">
      <formula>$AT29="N/A"</formula>
    </cfRule>
    <cfRule type="expression" dxfId="146" priority="47">
      <formula>$AT29="N/A"</formula>
    </cfRule>
    <cfRule type="expression" dxfId="145" priority="48">
      <formula>$AT29=100%</formula>
    </cfRule>
  </conditionalFormatting>
  <conditionalFormatting sqref="F29:F30">
    <cfRule type="expression" dxfId="144" priority="41">
      <formula>$AT29="Appliqué"</formula>
    </cfRule>
  </conditionalFormatting>
  <conditionalFormatting sqref="F30">
    <cfRule type="expression" dxfId="143" priority="29">
      <formula>$AR30="Echue"</formula>
    </cfRule>
    <cfRule type="expression" dxfId="142" priority="34">
      <formula>$AT30=100%</formula>
    </cfRule>
    <cfRule type="expression" dxfId="141" priority="33">
      <formula>$AT30="N/A"</formula>
    </cfRule>
    <cfRule type="expression" dxfId="140" priority="30">
      <formula>$AT30="N/A"</formula>
    </cfRule>
  </conditionalFormatting>
  <conditionalFormatting sqref="G26:H31">
    <cfRule type="expression" dxfId="139" priority="62">
      <formula>#REF!=100%</formula>
    </cfRule>
  </conditionalFormatting>
  <conditionalFormatting sqref="I8">
    <cfRule type="expression" dxfId="138" priority="147">
      <formula>$AT8="N/A"</formula>
    </cfRule>
    <cfRule type="expression" dxfId="137" priority="151">
      <formula>$AT8=100%</formula>
    </cfRule>
    <cfRule type="expression" dxfId="136" priority="146">
      <formula>$AR8="Echue"</formula>
    </cfRule>
    <cfRule type="expression" dxfId="135" priority="145">
      <formula>$AT8="Appliqué"</formula>
    </cfRule>
    <cfRule type="expression" dxfId="134" priority="150">
      <formula>$AT8="N/A"</formula>
    </cfRule>
  </conditionalFormatting>
  <conditionalFormatting sqref="I8:K8">
    <cfRule type="expression" dxfId="133" priority="148">
      <formula>$AT8="Appliqué"</formula>
    </cfRule>
    <cfRule type="expression" dxfId="132" priority="149">
      <formula>$AR8="Echue"</formula>
    </cfRule>
  </conditionalFormatting>
  <conditionalFormatting sqref="J8:K8">
    <cfRule type="expression" dxfId="131" priority="154">
      <formula>$AT8="N/A"</formula>
    </cfRule>
    <cfRule type="expression" dxfId="130" priority="155">
      <formula>$AT8="Appliqué"</formula>
    </cfRule>
    <cfRule type="expression" dxfId="129" priority="156">
      <formula>$AR8="Echue"</formula>
    </cfRule>
    <cfRule type="expression" dxfId="128" priority="157">
      <formula>$AT8="N/A"</formula>
    </cfRule>
    <cfRule type="expression" dxfId="127" priority="158">
      <formula>$AT8=100%</formula>
    </cfRule>
  </conditionalFormatting>
  <pageMargins left="0.7" right="0.7" top="0.75" bottom="0.75" header="0.3" footer="0.3"/>
  <pageSetup paperSize="9" scale="3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0"/>
  <sheetViews>
    <sheetView showGridLines="0" showWhiteSpace="0" view="pageBreakPreview" zoomScale="70" zoomScaleNormal="70" zoomScaleSheetLayoutView="70" zoomScalePageLayoutView="70" workbookViewId="0">
      <pane ySplit="7" topLeftCell="A8" activePane="bottomLeft" state="frozen"/>
      <selection pane="bottomLeft" activeCell="H16" sqref="H16"/>
    </sheetView>
  </sheetViews>
  <sheetFormatPr baseColWidth="10" defaultRowHeight="15"/>
  <cols>
    <col min="1" max="1" width="12.1640625" customWidth="1"/>
    <col min="2" max="2" width="85" customWidth="1"/>
    <col min="3" max="3" width="12.83203125" customWidth="1"/>
    <col min="4" max="4" width="13.5" customWidth="1"/>
    <col min="5" max="5" width="13.33203125" bestFit="1" customWidth="1"/>
    <col min="6" max="6" width="16" customWidth="1"/>
    <col min="7" max="7" width="18.33203125" bestFit="1" customWidth="1"/>
    <col min="8" max="8" width="76.5" customWidth="1"/>
    <col min="9" max="9" width="89.83203125" customWidth="1"/>
  </cols>
  <sheetData>
    <row r="1" spans="1:9" s="48" customFormat="1" ht="33">
      <c r="A1" s="109" t="s">
        <v>46</v>
      </c>
      <c r="B1" s="110"/>
      <c r="C1" s="110"/>
      <c r="D1" s="110"/>
      <c r="E1" s="110"/>
      <c r="F1" s="110"/>
      <c r="G1" s="110"/>
      <c r="H1" s="110"/>
      <c r="I1" s="110"/>
    </row>
    <row r="2" spans="1:9" s="40" customFormat="1" ht="18" customHeight="1">
      <c r="A2" s="2" t="s">
        <v>58</v>
      </c>
      <c r="B2" s="2"/>
      <c r="C2" s="2"/>
      <c r="D2" s="2"/>
      <c r="E2" s="82"/>
      <c r="F2" s="82"/>
      <c r="G2" s="82"/>
      <c r="H2" s="82"/>
      <c r="I2" s="82"/>
    </row>
    <row r="3" spans="1:9" s="40" customFormat="1" ht="20.25" customHeight="1">
      <c r="A3" s="2" t="s">
        <v>47</v>
      </c>
      <c r="B3" s="2"/>
      <c r="C3" s="2"/>
      <c r="D3" s="2"/>
      <c r="E3" s="82"/>
      <c r="F3" s="41"/>
      <c r="G3" s="41"/>
      <c r="H3" s="41"/>
      <c r="I3" s="42"/>
    </row>
    <row r="4" spans="1:9" s="40" customFormat="1" ht="20">
      <c r="A4" s="2" t="s">
        <v>62</v>
      </c>
      <c r="B4" s="2"/>
      <c r="C4" s="2"/>
      <c r="D4" s="2"/>
      <c r="E4" s="49"/>
      <c r="F4" s="41"/>
      <c r="G4" s="41"/>
      <c r="H4" s="41"/>
      <c r="I4" s="42"/>
    </row>
    <row r="5" spans="1:9" s="43" customFormat="1" ht="14"/>
    <row r="6" spans="1:9" s="47" customFormat="1" ht="34" thickBot="1">
      <c r="A6" s="111" t="s">
        <v>39</v>
      </c>
      <c r="B6" s="111"/>
      <c r="C6" s="111"/>
      <c r="D6" s="111"/>
      <c r="E6" s="111"/>
      <c r="F6" s="111"/>
      <c r="G6" s="45">
        <f>AVERAGE(G8:G11)</f>
        <v>80</v>
      </c>
      <c r="H6" s="46"/>
      <c r="I6" s="46"/>
    </row>
    <row r="7" spans="1:9" s="40" customFormat="1" ht="43.5" customHeight="1" thickBot="1">
      <c r="A7" s="44" t="s">
        <v>49</v>
      </c>
      <c r="B7" s="44" t="s">
        <v>28</v>
      </c>
      <c r="C7" s="44" t="s">
        <v>48</v>
      </c>
      <c r="D7" s="44" t="s">
        <v>29</v>
      </c>
      <c r="E7" s="44" t="s">
        <v>30</v>
      </c>
      <c r="F7" s="44" t="s">
        <v>31</v>
      </c>
      <c r="G7" s="44" t="s">
        <v>32</v>
      </c>
      <c r="H7" s="44" t="s">
        <v>33</v>
      </c>
      <c r="I7" s="44" t="s">
        <v>34</v>
      </c>
    </row>
    <row r="8" spans="1:9" s="40" customFormat="1" ht="49.5" customHeight="1" thickBot="1">
      <c r="A8" s="53" t="s">
        <v>50</v>
      </c>
      <c r="B8" s="51" t="s">
        <v>56</v>
      </c>
      <c r="C8" s="52">
        <v>1</v>
      </c>
      <c r="D8" s="81" t="s">
        <v>63</v>
      </c>
      <c r="E8" s="81" t="s">
        <v>63</v>
      </c>
      <c r="F8" s="52" t="str">
        <f>IF(D8 ="N/A", "N/A",(E8/D8))</f>
        <v>N/A</v>
      </c>
      <c r="G8" s="53" t="str">
        <f>IF(F8 ="N/A","N/A",IF((F8/C8)&lt; 0.5, $I$16, IF((F8/C8)&lt; 0.75,$I$17,IF((F8/C8)&lt; 0.85,$I$18,IF((F8/C8)&lt; 0.95,$I$19,$I$20)))))</f>
        <v>N/A</v>
      </c>
      <c r="H8" s="50"/>
      <c r="I8" s="50"/>
    </row>
    <row r="9" spans="1:9" s="40" customFormat="1" ht="54.75" customHeight="1" thickBot="1">
      <c r="A9" s="53" t="s">
        <v>51</v>
      </c>
      <c r="B9" s="51" t="s">
        <v>53</v>
      </c>
      <c r="C9" s="52">
        <v>0.9</v>
      </c>
      <c r="D9" s="81">
        <v>894</v>
      </c>
      <c r="E9" s="81">
        <v>801</v>
      </c>
      <c r="F9" s="52">
        <f>IF(D9 = "N/A", "N/A",(E9/D9))</f>
        <v>0.89597315436241609</v>
      </c>
      <c r="G9" s="53">
        <f>IF(F9 ="N/A","N/A",IF(F9&lt; 0.45, $I$16, IF(F9&lt; 0.7,$I$17,IF(F9&lt; 0.85,$I$18,IF(F9&lt; 0.9,$I$19,$I$20)))))</f>
        <v>80</v>
      </c>
      <c r="H9" s="50" t="s">
        <v>60</v>
      </c>
      <c r="I9" s="50"/>
    </row>
    <row r="10" spans="1:9" s="40" customFormat="1" ht="55.5" customHeight="1" thickBot="1">
      <c r="A10" s="53" t="s">
        <v>57</v>
      </c>
      <c r="B10" s="51" t="s">
        <v>55</v>
      </c>
      <c r="C10" s="52">
        <v>1</v>
      </c>
      <c r="D10" s="81" t="s">
        <v>63</v>
      </c>
      <c r="E10" s="81" t="s">
        <v>63</v>
      </c>
      <c r="F10" s="52" t="str">
        <f>IF(D10 = "N/A", "N/A",(E10/D10))</f>
        <v>N/A</v>
      </c>
      <c r="G10" s="53" t="str">
        <f>IF(F10 ="N/A","N/A",IF((F10/C10)&lt; 0.5, $I$16, IF((F10/C10)&lt; 0.75,$I$17,IF((F10/C10)&lt; 0.85,$I$18,IF((F10/C10)&lt; 0.95,$I$19,$I$20)))))</f>
        <v>N/A</v>
      </c>
      <c r="H10" s="50"/>
      <c r="I10" s="50"/>
    </row>
    <row r="11" spans="1:9" s="40" customFormat="1" ht="78" customHeight="1" thickBot="1">
      <c r="A11" s="53" t="s">
        <v>52</v>
      </c>
      <c r="B11" s="51" t="s">
        <v>54</v>
      </c>
      <c r="C11" s="54">
        <v>1</v>
      </c>
      <c r="D11" s="81" t="s">
        <v>63</v>
      </c>
      <c r="E11" s="81" t="s">
        <v>63</v>
      </c>
      <c r="F11" s="52" t="str">
        <f>IF(D11 ="N/A","N/A",(E11/D11))</f>
        <v>N/A</v>
      </c>
      <c r="G11" s="53" t="str">
        <f>IF(F11 ="N/A","N/A",IF((F11/C11)&lt; 0.5, $I$16, IF((F11/C11)&lt; 0.75,$I$17,IF((F11/C11)&lt; 0.85,$I$18,IF((F11/C11)&lt; 0.95,$I$19,$I$20)))))</f>
        <v>N/A</v>
      </c>
      <c r="H11" s="50"/>
      <c r="I11" s="50"/>
    </row>
    <row r="14" spans="1:9" ht="17.25" customHeight="1">
      <c r="H14" s="112" t="s">
        <v>35</v>
      </c>
      <c r="I14" s="113"/>
    </row>
    <row r="15" spans="1:9" ht="16" thickBot="1">
      <c r="H15" s="34" t="s">
        <v>36</v>
      </c>
      <c r="I15" s="35" t="s">
        <v>37</v>
      </c>
    </row>
    <row r="16" spans="1:9" ht="16" thickBot="1">
      <c r="H16" s="36" t="s">
        <v>40</v>
      </c>
      <c r="I16" s="37">
        <v>10</v>
      </c>
    </row>
    <row r="17" spans="8:9" ht="16" thickBot="1">
      <c r="H17" s="38" t="s">
        <v>41</v>
      </c>
      <c r="I17" s="39">
        <v>30</v>
      </c>
    </row>
    <row r="18" spans="8:9" ht="16" thickBot="1">
      <c r="H18" s="36" t="s">
        <v>42</v>
      </c>
      <c r="I18" s="37">
        <v>50</v>
      </c>
    </row>
    <row r="19" spans="8:9" ht="16" thickBot="1">
      <c r="H19" s="38" t="s">
        <v>43</v>
      </c>
      <c r="I19" s="39">
        <v>80</v>
      </c>
    </row>
    <row r="20" spans="8:9" ht="16" thickBot="1">
      <c r="H20" s="36" t="s">
        <v>44</v>
      </c>
      <c r="I20" s="37">
        <v>100</v>
      </c>
    </row>
  </sheetData>
  <sheetProtection algorithmName="SHA-512" hashValue="HDtMfIdvFZZkCgOR+m0+DCrjjey1TpDsvwQSQmhTg11QjLR3cm8SgKVCDi0VJIyi0OGesXYwcIi+nfXoytpK/w==" saltValue="uY8fbq9m8Eooow4YG6SgXw==" spinCount="100000" sheet="1" objects="1" scenarios="1"/>
  <mergeCells count="6">
    <mergeCell ref="H14:I14"/>
    <mergeCell ref="A1:I1"/>
    <mergeCell ref="A2:D2"/>
    <mergeCell ref="A3:D3"/>
    <mergeCell ref="A4:D4"/>
    <mergeCell ref="A6:F6"/>
  </mergeCells>
  <conditionalFormatting sqref="A8:I8 A9:G9 A10:I10 A11:G11">
    <cfRule type="expression" dxfId="126" priority="42">
      <formula>$I8=100%</formula>
    </cfRule>
    <cfRule type="expression" dxfId="125" priority="41">
      <formula>$I8="N/A"</formula>
    </cfRule>
    <cfRule type="expression" dxfId="124" priority="40">
      <formula>$H8="Echue"</formula>
    </cfRule>
    <cfRule type="expression" dxfId="123" priority="39">
      <formula>$I8="Appliqué"</formula>
    </cfRule>
  </conditionalFormatting>
  <conditionalFormatting sqref="A8:I8 A10:I10 A11:G11 A9:G9">
    <cfRule type="expression" dxfId="122" priority="38">
      <formula>$I8="N/A"</formula>
    </cfRule>
  </conditionalFormatting>
  <conditionalFormatting sqref="A8:I8">
    <cfRule type="expression" dxfId="121" priority="37">
      <formula>$H8="Echue"</formula>
    </cfRule>
    <cfRule type="expression" dxfId="120" priority="36">
      <formula>$I8="Appliqué"</formula>
    </cfRule>
  </conditionalFormatting>
  <conditionalFormatting sqref="A9:I9">
    <cfRule type="expression" dxfId="119" priority="11">
      <formula>$I9="Appliqué"</formula>
    </cfRule>
    <cfRule type="expression" dxfId="118" priority="12">
      <formula>$H9="Echue"</formula>
    </cfRule>
  </conditionalFormatting>
  <conditionalFormatting sqref="A10:I11">
    <cfRule type="expression" dxfId="117" priority="26">
      <formula>$H10="Echue"</formula>
    </cfRule>
    <cfRule type="expression" dxfId="116" priority="25">
      <formula>$I10="Appliqué"</formula>
    </cfRule>
  </conditionalFormatting>
  <conditionalFormatting sqref="C8">
    <cfRule type="expression" dxfId="115" priority="35">
      <formula>$I8=100%</formula>
    </cfRule>
    <cfRule type="expression" dxfId="114" priority="34">
      <formula>$I8="N/A"</formula>
    </cfRule>
    <cfRule type="expression" dxfId="113" priority="33">
      <formula>$H8="Echue"</formula>
    </cfRule>
    <cfRule type="expression" dxfId="112" priority="32">
      <formula>$I8="Appliqué"</formula>
    </cfRule>
    <cfRule type="expression" dxfId="111" priority="31">
      <formula>$I8="N/A"</formula>
    </cfRule>
    <cfRule type="expression" dxfId="110" priority="30">
      <formula>$H8="Echue"</formula>
    </cfRule>
    <cfRule type="expression" dxfId="109" priority="29">
      <formula>$I8="Appliqué"</formula>
    </cfRule>
  </conditionalFormatting>
  <conditionalFormatting sqref="D10:E11">
    <cfRule type="expression" dxfId="108" priority="1">
      <formula>$I10="Appliqué"</formula>
    </cfRule>
    <cfRule type="expression" dxfId="107" priority="7">
      <formula>$I10=100%</formula>
    </cfRule>
    <cfRule type="expression" dxfId="106" priority="6">
      <formula>$I10="N/A"</formula>
    </cfRule>
    <cfRule type="expression" dxfId="105" priority="5">
      <formula>$H10="Echue"</formula>
    </cfRule>
    <cfRule type="expression" dxfId="104" priority="4">
      <formula>$I10="Appliqué"</formula>
    </cfRule>
    <cfRule type="expression" dxfId="103" priority="3">
      <formula>$I10="N/A"</formula>
    </cfRule>
    <cfRule type="expression" dxfId="102" priority="2">
      <formula>$H10="Echue"</formula>
    </cfRule>
  </conditionalFormatting>
  <conditionalFormatting sqref="H9">
    <cfRule type="expression" dxfId="101" priority="14">
      <formula>$I9=100%</formula>
    </cfRule>
    <cfRule type="expression" dxfId="100" priority="13">
      <formula>$I9="N/A"</formula>
    </cfRule>
    <cfRule type="expression" dxfId="99" priority="10">
      <formula>$I9="N/A"</formula>
    </cfRule>
    <cfRule type="expression" dxfId="98" priority="9">
      <formula>$H9="Echue"</formula>
    </cfRule>
    <cfRule type="expression" dxfId="97" priority="8">
      <formula>$I9="Appliqué"</formula>
    </cfRule>
  </conditionalFormatting>
  <conditionalFormatting sqref="H11:I11">
    <cfRule type="expression" dxfId="96" priority="22">
      <formula>$I11="Appliqué"</formula>
    </cfRule>
    <cfRule type="expression" dxfId="95" priority="24">
      <formula>$I11="N/A"</formula>
    </cfRule>
    <cfRule type="expression" dxfId="94" priority="27">
      <formula>$I11="N/A"</formula>
    </cfRule>
    <cfRule type="expression" dxfId="93" priority="28">
      <formula>$I11=100%</formula>
    </cfRule>
    <cfRule type="expression" dxfId="92" priority="23">
      <formula>$H11="Echue"</formula>
    </cfRule>
  </conditionalFormatting>
  <conditionalFormatting sqref="I9">
    <cfRule type="expression" dxfId="91" priority="21">
      <formula>$I9=100%</formula>
    </cfRule>
    <cfRule type="expression" dxfId="90" priority="20">
      <formula>$I9="N/A"</formula>
    </cfRule>
    <cfRule type="expression" dxfId="89" priority="19">
      <formula>$H9="Echue"</formula>
    </cfRule>
    <cfRule type="expression" dxfId="88" priority="18">
      <formula>$I9="Appliqué"</formula>
    </cfRule>
    <cfRule type="expression" dxfId="87" priority="17">
      <formula>$I9="N/A"</formula>
    </cfRule>
  </conditionalFormatting>
  <pageMargins left="0.70866141732283472" right="0.70866141732283472" top="0.74803149606299213" bottom="0.74803149606299213" header="0.31496062992125984" footer="0.31496062992125984"/>
  <pageSetup paperSize="9" scale="3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13">
    <pageSetUpPr fitToPage="1"/>
  </sheetPr>
  <dimension ref="A1:L1912"/>
  <sheetViews>
    <sheetView showGridLines="0" view="pageBreakPreview" zoomScale="50" zoomScaleNormal="55" zoomScaleSheetLayoutView="50" zoomScalePageLayoutView="40" workbookViewId="0">
      <pane ySplit="7" topLeftCell="A8" activePane="bottomLeft" state="frozen"/>
      <selection pane="bottomLeft" activeCell="C13" sqref="C13"/>
    </sheetView>
  </sheetViews>
  <sheetFormatPr baseColWidth="10" defaultColWidth="11.5" defaultRowHeight="25"/>
  <cols>
    <col min="1" max="1" width="28.5" style="75" customWidth="1"/>
    <col min="2" max="2" width="26.33203125" style="76" customWidth="1"/>
    <col min="3" max="3" width="95.33203125" style="73" customWidth="1"/>
    <col min="4" max="4" width="82.5" style="73" customWidth="1"/>
    <col min="5" max="5" width="25" style="77" customWidth="1"/>
    <col min="6" max="6" width="17.6640625" style="78" bestFit="1" customWidth="1"/>
    <col min="7" max="7" width="20.5" style="79" customWidth="1"/>
    <col min="8" max="8" width="16.5" style="79" customWidth="1"/>
    <col min="9" max="9" width="86.83203125" style="80" customWidth="1"/>
    <col min="10" max="11" width="11.5" style="73"/>
    <col min="12" max="12" width="0" style="73" hidden="1" customWidth="1"/>
    <col min="13" max="16384" width="11.5" style="73"/>
  </cols>
  <sheetData>
    <row r="1" spans="1:12" s="55" customFormat="1">
      <c r="A1" s="114" t="s">
        <v>46</v>
      </c>
      <c r="B1" s="115"/>
      <c r="C1" s="115"/>
      <c r="D1" s="115"/>
      <c r="E1" s="115"/>
      <c r="F1" s="115"/>
      <c r="G1" s="115"/>
      <c r="H1" s="115"/>
      <c r="I1" s="115"/>
    </row>
    <row r="2" spans="1:12" s="59" customFormat="1" ht="23.25" customHeight="1">
      <c r="A2" s="118" t="s">
        <v>59</v>
      </c>
      <c r="B2" s="118"/>
      <c r="C2" s="118"/>
      <c r="D2" s="56"/>
      <c r="E2" s="57"/>
      <c r="F2" s="58"/>
      <c r="G2" s="58"/>
      <c r="H2" s="58"/>
    </row>
    <row r="3" spans="1:12" s="59" customFormat="1" ht="18.75" customHeight="1">
      <c r="A3" s="118" t="s">
        <v>47</v>
      </c>
      <c r="B3" s="118"/>
      <c r="C3" s="118"/>
      <c r="D3" s="56"/>
      <c r="E3" s="57"/>
      <c r="F3" s="58"/>
      <c r="G3" s="58"/>
      <c r="H3" s="58"/>
    </row>
    <row r="4" spans="1:12" s="59" customFormat="1" ht="26.25" customHeight="1">
      <c r="A4" s="118" t="s">
        <v>61</v>
      </c>
      <c r="B4" s="118"/>
      <c r="C4" s="118"/>
      <c r="D4" s="60"/>
      <c r="E4" s="60"/>
      <c r="F4" s="60"/>
      <c r="G4" s="58"/>
      <c r="H4" s="58"/>
    </row>
    <row r="5" spans="1:12" s="55" customFormat="1" ht="26" thickBot="1">
      <c r="A5" s="61"/>
      <c r="B5" s="62"/>
      <c r="C5" s="62"/>
      <c r="D5" s="62"/>
      <c r="E5" s="61"/>
      <c r="F5" s="63"/>
      <c r="G5" s="63"/>
      <c r="H5" s="63"/>
      <c r="I5" s="64"/>
    </row>
    <row r="6" spans="1:12" s="67" customFormat="1" ht="26" thickBot="1">
      <c r="A6" s="116" t="s">
        <v>38</v>
      </c>
      <c r="B6" s="116"/>
      <c r="C6" s="116"/>
      <c r="D6" s="116"/>
      <c r="E6" s="116"/>
      <c r="F6" s="116"/>
      <c r="G6" s="117"/>
      <c r="H6" s="65" t="e">
        <f ca="1">COUNTIF(L8:L1919,"EAP")/COUNTIF(G8:G1919,"ECHUE")</f>
        <v>#DIV/0!</v>
      </c>
      <c r="I6" s="66"/>
    </row>
    <row r="7" spans="1:12" s="69" customFormat="1" ht="56.25" customHeight="1" thickBot="1">
      <c r="A7" s="68" t="s">
        <v>5</v>
      </c>
      <c r="B7" s="68" t="s">
        <v>4</v>
      </c>
      <c r="C7" s="68" t="s">
        <v>3</v>
      </c>
      <c r="D7" s="68" t="s">
        <v>11</v>
      </c>
      <c r="E7" s="68" t="s">
        <v>6</v>
      </c>
      <c r="F7" s="68" t="s">
        <v>16</v>
      </c>
      <c r="G7" s="68" t="s">
        <v>0</v>
      </c>
      <c r="H7" s="68" t="s">
        <v>1</v>
      </c>
      <c r="I7" s="68" t="s">
        <v>2</v>
      </c>
      <c r="L7" s="69" t="s">
        <v>45</v>
      </c>
    </row>
    <row r="8" spans="1:12" ht="63" customHeight="1" thickBot="1">
      <c r="A8" s="72"/>
      <c r="B8" s="70"/>
      <c r="C8" s="71"/>
      <c r="D8" s="71"/>
      <c r="E8" s="72"/>
      <c r="F8" s="70"/>
      <c r="G8" s="72" t="str">
        <f t="shared" ref="G8:G67" ca="1" si="0">IF(ISBLANK(F8),"",IF(F8&gt;=TODAY(), "Non Echue", "Echue"))</f>
        <v/>
      </c>
      <c r="H8" s="72"/>
      <c r="I8" s="71"/>
      <c r="L8" s="55" t="str">
        <f t="shared" ref="L8:L45" ca="1" si="1" xml:space="preserve"> IF(G8 = "Echue",IF(H8 = "Appliqué","EAP","NAP"),"NE")</f>
        <v>NE</v>
      </c>
    </row>
    <row r="9" spans="1:12" ht="64.5" customHeight="1" thickBot="1">
      <c r="A9" s="72"/>
      <c r="B9" s="70"/>
      <c r="C9" s="71"/>
      <c r="D9" s="71"/>
      <c r="E9" s="72"/>
      <c r="F9" s="70"/>
      <c r="G9" s="72" t="str">
        <f t="shared" ca="1" si="0"/>
        <v/>
      </c>
      <c r="H9" s="72"/>
      <c r="I9" s="71"/>
      <c r="L9" s="55" t="str">
        <f t="shared" ca="1" si="1"/>
        <v>NE</v>
      </c>
    </row>
    <row r="10" spans="1:12" ht="66.75" customHeight="1" thickBot="1">
      <c r="A10" s="72"/>
      <c r="B10" s="70"/>
      <c r="C10" s="71"/>
      <c r="D10" s="71"/>
      <c r="E10" s="72"/>
      <c r="F10" s="70"/>
      <c r="G10" s="72" t="str">
        <f t="shared" ca="1" si="0"/>
        <v/>
      </c>
      <c r="H10" s="72"/>
      <c r="I10" s="71"/>
      <c r="L10" s="55" t="str">
        <f t="shared" ca="1" si="1"/>
        <v>NE</v>
      </c>
    </row>
    <row r="11" spans="1:12" ht="63" customHeight="1" thickBot="1">
      <c r="A11" s="72"/>
      <c r="B11" s="70"/>
      <c r="C11" s="71"/>
      <c r="D11" s="71"/>
      <c r="E11" s="72"/>
      <c r="F11" s="70"/>
      <c r="G11" s="72" t="str">
        <f t="shared" ca="1" si="0"/>
        <v/>
      </c>
      <c r="H11" s="72"/>
      <c r="I11" s="71"/>
      <c r="L11" s="55" t="str">
        <f t="shared" ca="1" si="1"/>
        <v>NE</v>
      </c>
    </row>
    <row r="12" spans="1:12" ht="56.25" customHeight="1" thickBot="1">
      <c r="A12" s="72"/>
      <c r="B12" s="70"/>
      <c r="C12" s="71"/>
      <c r="D12" s="71"/>
      <c r="E12" s="72"/>
      <c r="F12" s="70"/>
      <c r="G12" s="72" t="str">
        <f t="shared" ca="1" si="0"/>
        <v/>
      </c>
      <c r="H12" s="72"/>
      <c r="I12" s="71"/>
      <c r="L12" s="55" t="str">
        <f t="shared" ca="1" si="1"/>
        <v>NE</v>
      </c>
    </row>
    <row r="13" spans="1:12" ht="64.5" customHeight="1" thickBot="1">
      <c r="A13" s="72"/>
      <c r="B13" s="74"/>
      <c r="C13" s="71"/>
      <c r="D13" s="71"/>
      <c r="E13" s="72"/>
      <c r="F13" s="70"/>
      <c r="G13" s="72" t="str">
        <f t="shared" ca="1" si="0"/>
        <v/>
      </c>
      <c r="H13" s="72"/>
      <c r="I13" s="71"/>
      <c r="L13" s="55" t="str">
        <f t="shared" ca="1" si="1"/>
        <v>NE</v>
      </c>
    </row>
    <row r="14" spans="1:12" ht="27" thickBot="1">
      <c r="A14" s="72"/>
      <c r="B14" s="74"/>
      <c r="C14" s="71"/>
      <c r="D14" s="71"/>
      <c r="E14" s="72"/>
      <c r="F14" s="70"/>
      <c r="G14" s="72" t="str">
        <f t="shared" ca="1" si="0"/>
        <v/>
      </c>
      <c r="H14" s="72"/>
      <c r="I14" s="71"/>
      <c r="L14" s="55" t="str">
        <f t="shared" ca="1" si="1"/>
        <v>NE</v>
      </c>
    </row>
    <row r="15" spans="1:12" ht="27" thickBot="1">
      <c r="A15" s="72"/>
      <c r="B15" s="74"/>
      <c r="C15" s="71"/>
      <c r="D15" s="71"/>
      <c r="E15" s="72"/>
      <c r="F15" s="70"/>
      <c r="G15" s="72" t="str">
        <f t="shared" ca="1" si="0"/>
        <v/>
      </c>
      <c r="H15" s="72"/>
      <c r="I15" s="71"/>
      <c r="L15" s="55" t="str">
        <f t="shared" ca="1" si="1"/>
        <v>NE</v>
      </c>
    </row>
    <row r="16" spans="1:12" ht="27" thickBot="1">
      <c r="A16" s="72"/>
      <c r="B16" s="74"/>
      <c r="C16" s="71"/>
      <c r="D16" s="71"/>
      <c r="E16" s="72"/>
      <c r="F16" s="70"/>
      <c r="G16" s="72" t="str">
        <f t="shared" ca="1" si="0"/>
        <v/>
      </c>
      <c r="H16" s="72"/>
      <c r="I16" s="71"/>
      <c r="L16" s="55" t="str">
        <f t="shared" ca="1" si="1"/>
        <v>NE</v>
      </c>
    </row>
    <row r="17" spans="1:12" ht="27" thickBot="1">
      <c r="A17" s="72"/>
      <c r="B17" s="74"/>
      <c r="C17" s="71"/>
      <c r="D17" s="71"/>
      <c r="E17" s="72"/>
      <c r="F17" s="70"/>
      <c r="G17" s="72" t="str">
        <f t="shared" ca="1" si="0"/>
        <v/>
      </c>
      <c r="H17" s="72"/>
      <c r="I17" s="71"/>
      <c r="L17" s="55" t="str">
        <f t="shared" ca="1" si="1"/>
        <v>NE</v>
      </c>
    </row>
    <row r="18" spans="1:12" ht="27" thickBot="1">
      <c r="A18" s="72"/>
      <c r="B18" s="74"/>
      <c r="C18" s="71"/>
      <c r="D18" s="71"/>
      <c r="E18" s="72"/>
      <c r="F18" s="70"/>
      <c r="G18" s="72" t="str">
        <f t="shared" ca="1" si="0"/>
        <v/>
      </c>
      <c r="H18" s="72"/>
      <c r="I18" s="71"/>
      <c r="L18" s="55" t="str">
        <f t="shared" ca="1" si="1"/>
        <v>NE</v>
      </c>
    </row>
    <row r="19" spans="1:12" ht="27" thickBot="1">
      <c r="A19" s="72"/>
      <c r="B19" s="74"/>
      <c r="C19" s="71"/>
      <c r="D19" s="71"/>
      <c r="E19" s="72"/>
      <c r="F19" s="70"/>
      <c r="G19" s="72" t="str">
        <f t="shared" ca="1" si="0"/>
        <v/>
      </c>
      <c r="H19" s="72"/>
      <c r="I19" s="71"/>
      <c r="L19" s="55" t="str">
        <f t="shared" ca="1" si="1"/>
        <v>NE</v>
      </c>
    </row>
    <row r="20" spans="1:12" ht="27" thickBot="1">
      <c r="A20" s="72"/>
      <c r="B20" s="74"/>
      <c r="C20" s="71"/>
      <c r="D20" s="71"/>
      <c r="E20" s="72"/>
      <c r="F20" s="70"/>
      <c r="G20" s="72" t="str">
        <f t="shared" ca="1" si="0"/>
        <v/>
      </c>
      <c r="H20" s="72"/>
      <c r="I20" s="71"/>
      <c r="L20" s="55" t="str">
        <f t="shared" ca="1" si="1"/>
        <v>NE</v>
      </c>
    </row>
    <row r="21" spans="1:12" ht="27" thickBot="1">
      <c r="A21" s="72"/>
      <c r="B21" s="74"/>
      <c r="C21" s="71"/>
      <c r="D21" s="71"/>
      <c r="E21" s="72"/>
      <c r="F21" s="70"/>
      <c r="G21" s="72" t="str">
        <f t="shared" ca="1" si="0"/>
        <v/>
      </c>
      <c r="H21" s="72"/>
      <c r="I21" s="71"/>
      <c r="L21" s="55" t="str">
        <f t="shared" ca="1" si="1"/>
        <v>NE</v>
      </c>
    </row>
    <row r="22" spans="1:12" ht="27" thickBot="1">
      <c r="A22" s="72"/>
      <c r="B22" s="74"/>
      <c r="C22" s="71"/>
      <c r="D22" s="71"/>
      <c r="E22" s="72"/>
      <c r="F22" s="70"/>
      <c r="G22" s="72" t="str">
        <f t="shared" ca="1" si="0"/>
        <v/>
      </c>
      <c r="H22" s="72"/>
      <c r="I22" s="71"/>
      <c r="L22" s="55" t="str">
        <f t="shared" ca="1" si="1"/>
        <v>NE</v>
      </c>
    </row>
    <row r="23" spans="1:12" ht="27" thickBot="1">
      <c r="A23" s="72"/>
      <c r="B23" s="74"/>
      <c r="C23" s="71"/>
      <c r="D23" s="71"/>
      <c r="E23" s="72"/>
      <c r="F23" s="70"/>
      <c r="G23" s="72" t="str">
        <f t="shared" ca="1" si="0"/>
        <v/>
      </c>
      <c r="H23" s="72"/>
      <c r="I23" s="71"/>
      <c r="L23" s="55" t="str">
        <f t="shared" ca="1" si="1"/>
        <v>NE</v>
      </c>
    </row>
    <row r="24" spans="1:12" ht="27" thickBot="1">
      <c r="A24" s="72"/>
      <c r="B24" s="74"/>
      <c r="C24" s="71"/>
      <c r="D24" s="71"/>
      <c r="E24" s="72"/>
      <c r="F24" s="70"/>
      <c r="G24" s="72" t="str">
        <f t="shared" ca="1" si="0"/>
        <v/>
      </c>
      <c r="H24" s="72"/>
      <c r="I24" s="71"/>
      <c r="L24" s="55" t="str">
        <f t="shared" ca="1" si="1"/>
        <v>NE</v>
      </c>
    </row>
    <row r="25" spans="1:12" ht="27" thickBot="1">
      <c r="A25" s="72"/>
      <c r="B25" s="74"/>
      <c r="C25" s="71"/>
      <c r="D25" s="71"/>
      <c r="E25" s="72"/>
      <c r="F25" s="70"/>
      <c r="G25" s="72" t="str">
        <f t="shared" ca="1" si="0"/>
        <v/>
      </c>
      <c r="H25" s="72"/>
      <c r="I25" s="71"/>
      <c r="L25" s="55" t="str">
        <f t="shared" ca="1" si="1"/>
        <v>NE</v>
      </c>
    </row>
    <row r="26" spans="1:12" ht="27" thickBot="1">
      <c r="A26" s="72"/>
      <c r="B26" s="74"/>
      <c r="C26" s="71"/>
      <c r="D26" s="71"/>
      <c r="E26" s="72"/>
      <c r="F26" s="70"/>
      <c r="G26" s="72" t="str">
        <f t="shared" ca="1" si="0"/>
        <v/>
      </c>
      <c r="H26" s="72"/>
      <c r="I26" s="71"/>
      <c r="L26" s="55" t="str">
        <f t="shared" ca="1" si="1"/>
        <v>NE</v>
      </c>
    </row>
    <row r="27" spans="1:12" ht="27" thickBot="1">
      <c r="A27" s="72"/>
      <c r="B27" s="74"/>
      <c r="C27" s="71"/>
      <c r="D27" s="71"/>
      <c r="E27" s="72"/>
      <c r="F27" s="70"/>
      <c r="G27" s="72" t="str">
        <f t="shared" ca="1" si="0"/>
        <v/>
      </c>
      <c r="H27" s="72"/>
      <c r="I27" s="71"/>
      <c r="L27" s="55" t="str">
        <f t="shared" ca="1" si="1"/>
        <v>NE</v>
      </c>
    </row>
    <row r="28" spans="1:12" ht="27" thickBot="1">
      <c r="A28" s="72"/>
      <c r="B28" s="74"/>
      <c r="C28" s="71"/>
      <c r="D28" s="71"/>
      <c r="E28" s="72"/>
      <c r="F28" s="70"/>
      <c r="G28" s="72" t="str">
        <f t="shared" ca="1" si="0"/>
        <v/>
      </c>
      <c r="H28" s="72"/>
      <c r="I28" s="71"/>
      <c r="L28" s="55" t="str">
        <f t="shared" ca="1" si="1"/>
        <v>NE</v>
      </c>
    </row>
    <row r="29" spans="1:12" ht="27" thickBot="1">
      <c r="A29" s="72"/>
      <c r="B29" s="74"/>
      <c r="C29" s="71"/>
      <c r="D29" s="71"/>
      <c r="E29" s="72"/>
      <c r="F29" s="70"/>
      <c r="G29" s="72" t="str">
        <f t="shared" ca="1" si="0"/>
        <v/>
      </c>
      <c r="H29" s="72"/>
      <c r="I29" s="71"/>
      <c r="L29" s="55" t="str">
        <f t="shared" ca="1" si="1"/>
        <v>NE</v>
      </c>
    </row>
    <row r="30" spans="1:12" ht="27" thickBot="1">
      <c r="A30" s="72"/>
      <c r="B30" s="74"/>
      <c r="C30" s="71"/>
      <c r="D30" s="71"/>
      <c r="E30" s="72"/>
      <c r="F30" s="70"/>
      <c r="G30" s="72" t="str">
        <f t="shared" ca="1" si="0"/>
        <v/>
      </c>
      <c r="H30" s="72"/>
      <c r="I30" s="71"/>
      <c r="L30" s="55" t="str">
        <f t="shared" ca="1" si="1"/>
        <v>NE</v>
      </c>
    </row>
    <row r="31" spans="1:12" ht="27" thickBot="1">
      <c r="A31" s="72"/>
      <c r="B31" s="74"/>
      <c r="C31" s="71"/>
      <c r="D31" s="71"/>
      <c r="E31" s="72"/>
      <c r="F31" s="70"/>
      <c r="G31" s="72" t="str">
        <f t="shared" ca="1" si="0"/>
        <v/>
      </c>
      <c r="H31" s="72"/>
      <c r="I31" s="71"/>
      <c r="L31" s="55" t="str">
        <f t="shared" ca="1" si="1"/>
        <v>NE</v>
      </c>
    </row>
    <row r="32" spans="1:12" ht="27" thickBot="1">
      <c r="A32" s="72"/>
      <c r="B32" s="74"/>
      <c r="C32" s="71"/>
      <c r="D32" s="71"/>
      <c r="E32" s="72"/>
      <c r="F32" s="70"/>
      <c r="G32" s="72" t="str">
        <f t="shared" ca="1" si="0"/>
        <v/>
      </c>
      <c r="H32" s="72"/>
      <c r="I32" s="71"/>
      <c r="L32" s="55" t="str">
        <f t="shared" ca="1" si="1"/>
        <v>NE</v>
      </c>
    </row>
    <row r="33" spans="1:12" ht="27" thickBot="1">
      <c r="A33" s="72"/>
      <c r="B33" s="74"/>
      <c r="C33" s="71"/>
      <c r="D33" s="71"/>
      <c r="E33" s="72"/>
      <c r="F33" s="70"/>
      <c r="G33" s="72" t="str">
        <f t="shared" ca="1" si="0"/>
        <v/>
      </c>
      <c r="H33" s="72"/>
      <c r="I33" s="71"/>
      <c r="L33" s="55" t="str">
        <f t="shared" ca="1" si="1"/>
        <v>NE</v>
      </c>
    </row>
    <row r="34" spans="1:12" ht="27" thickBot="1">
      <c r="A34" s="72"/>
      <c r="B34" s="74"/>
      <c r="C34" s="71"/>
      <c r="D34" s="71"/>
      <c r="E34" s="72"/>
      <c r="F34" s="70"/>
      <c r="G34" s="72" t="str">
        <f t="shared" ca="1" si="0"/>
        <v/>
      </c>
      <c r="H34" s="72"/>
      <c r="I34" s="71"/>
      <c r="L34" s="55" t="str">
        <f t="shared" ca="1" si="1"/>
        <v>NE</v>
      </c>
    </row>
    <row r="35" spans="1:12" ht="27" thickBot="1">
      <c r="A35" s="72"/>
      <c r="B35" s="74"/>
      <c r="C35" s="71"/>
      <c r="D35" s="71"/>
      <c r="E35" s="72"/>
      <c r="F35" s="70"/>
      <c r="G35" s="72" t="str">
        <f t="shared" ca="1" si="0"/>
        <v/>
      </c>
      <c r="H35" s="72"/>
      <c r="I35" s="71"/>
      <c r="L35" s="55" t="str">
        <f t="shared" ca="1" si="1"/>
        <v>NE</v>
      </c>
    </row>
    <row r="36" spans="1:12" ht="27" thickBot="1">
      <c r="A36" s="72"/>
      <c r="B36" s="74"/>
      <c r="C36" s="71"/>
      <c r="D36" s="71"/>
      <c r="E36" s="72"/>
      <c r="F36" s="70"/>
      <c r="G36" s="72" t="str">
        <f t="shared" ca="1" si="0"/>
        <v/>
      </c>
      <c r="H36" s="72"/>
      <c r="I36" s="71"/>
      <c r="L36" s="55" t="str">
        <f t="shared" ca="1" si="1"/>
        <v>NE</v>
      </c>
    </row>
    <row r="37" spans="1:12" ht="27" thickBot="1">
      <c r="A37" s="72"/>
      <c r="B37" s="74"/>
      <c r="C37" s="71"/>
      <c r="D37" s="71"/>
      <c r="E37" s="72"/>
      <c r="F37" s="70"/>
      <c r="G37" s="72" t="str">
        <f t="shared" ca="1" si="0"/>
        <v/>
      </c>
      <c r="H37" s="72"/>
      <c r="I37" s="71"/>
      <c r="L37" s="55" t="str">
        <f t="shared" ca="1" si="1"/>
        <v>NE</v>
      </c>
    </row>
    <row r="38" spans="1:12" ht="27" thickBot="1">
      <c r="A38" s="72"/>
      <c r="B38" s="74"/>
      <c r="C38" s="71"/>
      <c r="D38" s="71"/>
      <c r="E38" s="72"/>
      <c r="F38" s="70"/>
      <c r="G38" s="72" t="str">
        <f t="shared" ca="1" si="0"/>
        <v/>
      </c>
      <c r="H38" s="72"/>
      <c r="I38" s="71"/>
      <c r="L38" s="55" t="str">
        <f t="shared" ca="1" si="1"/>
        <v>NE</v>
      </c>
    </row>
    <row r="39" spans="1:12" ht="27" thickBot="1">
      <c r="A39" s="72"/>
      <c r="B39" s="74"/>
      <c r="C39" s="71"/>
      <c r="D39" s="71"/>
      <c r="E39" s="72"/>
      <c r="F39" s="70"/>
      <c r="G39" s="72" t="str">
        <f t="shared" ca="1" si="0"/>
        <v/>
      </c>
      <c r="H39" s="72"/>
      <c r="I39" s="71"/>
      <c r="L39" s="55" t="str">
        <f t="shared" ca="1" si="1"/>
        <v>NE</v>
      </c>
    </row>
    <row r="40" spans="1:12" ht="27" thickBot="1">
      <c r="A40" s="72"/>
      <c r="B40" s="74"/>
      <c r="C40" s="71"/>
      <c r="D40" s="71"/>
      <c r="E40" s="72"/>
      <c r="F40" s="70"/>
      <c r="G40" s="72" t="str">
        <f t="shared" ca="1" si="0"/>
        <v/>
      </c>
      <c r="H40" s="72"/>
      <c r="I40" s="71"/>
      <c r="L40" s="55" t="str">
        <f t="shared" ca="1" si="1"/>
        <v>NE</v>
      </c>
    </row>
    <row r="41" spans="1:12" ht="27" thickBot="1">
      <c r="A41" s="72"/>
      <c r="B41" s="74"/>
      <c r="C41" s="71"/>
      <c r="D41" s="71"/>
      <c r="E41" s="72"/>
      <c r="F41" s="70"/>
      <c r="G41" s="72" t="str">
        <f t="shared" ca="1" si="0"/>
        <v/>
      </c>
      <c r="H41" s="72"/>
      <c r="I41" s="71"/>
      <c r="L41" s="55" t="str">
        <f t="shared" ca="1" si="1"/>
        <v>NE</v>
      </c>
    </row>
    <row r="42" spans="1:12" ht="27" thickBot="1">
      <c r="A42" s="72"/>
      <c r="B42" s="74"/>
      <c r="C42" s="71"/>
      <c r="D42" s="71"/>
      <c r="E42" s="72"/>
      <c r="F42" s="70"/>
      <c r="G42" s="72" t="str">
        <f t="shared" ca="1" si="0"/>
        <v/>
      </c>
      <c r="H42" s="72"/>
      <c r="I42" s="71"/>
      <c r="L42" s="55" t="str">
        <f t="shared" ca="1" si="1"/>
        <v>NE</v>
      </c>
    </row>
    <row r="43" spans="1:12" ht="27" thickBot="1">
      <c r="A43" s="72"/>
      <c r="B43" s="74"/>
      <c r="C43" s="71"/>
      <c r="D43" s="71"/>
      <c r="E43" s="72"/>
      <c r="F43" s="70"/>
      <c r="G43" s="72" t="str">
        <f t="shared" ca="1" si="0"/>
        <v/>
      </c>
      <c r="H43" s="72"/>
      <c r="I43" s="71"/>
      <c r="L43" s="55" t="str">
        <f t="shared" ca="1" si="1"/>
        <v>NE</v>
      </c>
    </row>
    <row r="44" spans="1:12" ht="27" thickBot="1">
      <c r="A44" s="72"/>
      <c r="B44" s="74"/>
      <c r="C44" s="71"/>
      <c r="D44" s="71"/>
      <c r="E44" s="72"/>
      <c r="F44" s="70"/>
      <c r="G44" s="72" t="str">
        <f t="shared" ca="1" si="0"/>
        <v/>
      </c>
      <c r="H44" s="72"/>
      <c r="I44" s="71"/>
      <c r="L44" s="55" t="str">
        <f t="shared" ca="1" si="1"/>
        <v>NE</v>
      </c>
    </row>
    <row r="45" spans="1:12" ht="27" thickBot="1">
      <c r="A45" s="72"/>
      <c r="B45" s="74"/>
      <c r="C45" s="71"/>
      <c r="D45" s="71"/>
      <c r="E45" s="72"/>
      <c r="F45" s="70"/>
      <c r="G45" s="72" t="str">
        <f t="shared" ca="1" si="0"/>
        <v/>
      </c>
      <c r="H45" s="72"/>
      <c r="I45" s="71"/>
      <c r="L45" s="55" t="str">
        <f t="shared" ca="1" si="1"/>
        <v>NE</v>
      </c>
    </row>
    <row r="46" spans="1:12" ht="27" thickBot="1">
      <c r="A46" s="72"/>
      <c r="B46" s="74"/>
      <c r="C46" s="71"/>
      <c r="D46" s="71"/>
      <c r="E46" s="72"/>
      <c r="F46" s="70"/>
      <c r="G46" s="72" t="str">
        <f t="shared" ca="1" si="0"/>
        <v/>
      </c>
      <c r="H46" s="72"/>
      <c r="I46" s="71"/>
      <c r="L46" s="55" t="str">
        <f t="shared" ref="L46:L109" ca="1" si="2" xml:space="preserve"> IF(G46 = "Echue",IF(H46 = "Appliqué","EAP","NAP"),"NE")</f>
        <v>NE</v>
      </c>
    </row>
    <row r="47" spans="1:12" ht="27" thickBot="1">
      <c r="A47" s="72"/>
      <c r="B47" s="74"/>
      <c r="C47" s="71"/>
      <c r="D47" s="71"/>
      <c r="E47" s="72"/>
      <c r="F47" s="70"/>
      <c r="G47" s="72" t="str">
        <f t="shared" ca="1" si="0"/>
        <v/>
      </c>
      <c r="H47" s="72"/>
      <c r="I47" s="71"/>
      <c r="L47" s="55" t="str">
        <f t="shared" ca="1" si="2"/>
        <v>NE</v>
      </c>
    </row>
    <row r="48" spans="1:12" ht="27" thickBot="1">
      <c r="A48" s="72"/>
      <c r="B48" s="74"/>
      <c r="C48" s="71"/>
      <c r="D48" s="71"/>
      <c r="E48" s="72"/>
      <c r="F48" s="70"/>
      <c r="G48" s="72" t="str">
        <f t="shared" ca="1" si="0"/>
        <v/>
      </c>
      <c r="H48" s="72"/>
      <c r="I48" s="71"/>
      <c r="L48" s="55" t="str">
        <f t="shared" ca="1" si="2"/>
        <v>NE</v>
      </c>
    </row>
    <row r="49" spans="1:12" ht="27" thickBot="1">
      <c r="A49" s="72"/>
      <c r="B49" s="74"/>
      <c r="C49" s="71"/>
      <c r="D49" s="71"/>
      <c r="E49" s="72"/>
      <c r="F49" s="70"/>
      <c r="G49" s="72" t="str">
        <f t="shared" ca="1" si="0"/>
        <v/>
      </c>
      <c r="H49" s="72"/>
      <c r="I49" s="71"/>
      <c r="L49" s="55" t="str">
        <f t="shared" ca="1" si="2"/>
        <v>NE</v>
      </c>
    </row>
    <row r="50" spans="1:12" ht="27" thickBot="1">
      <c r="A50" s="72"/>
      <c r="B50" s="74"/>
      <c r="C50" s="71"/>
      <c r="D50" s="71"/>
      <c r="E50" s="72"/>
      <c r="F50" s="70"/>
      <c r="G50" s="72" t="str">
        <f t="shared" ca="1" si="0"/>
        <v/>
      </c>
      <c r="H50" s="72"/>
      <c r="I50" s="71"/>
      <c r="L50" s="55" t="str">
        <f t="shared" ca="1" si="2"/>
        <v>NE</v>
      </c>
    </row>
    <row r="51" spans="1:12" ht="27" thickBot="1">
      <c r="A51" s="72"/>
      <c r="B51" s="74"/>
      <c r="C51" s="71"/>
      <c r="D51" s="71"/>
      <c r="E51" s="72"/>
      <c r="F51" s="70"/>
      <c r="G51" s="72" t="str">
        <f t="shared" ca="1" si="0"/>
        <v/>
      </c>
      <c r="H51" s="72"/>
      <c r="I51" s="71"/>
      <c r="L51" s="55" t="str">
        <f t="shared" ca="1" si="2"/>
        <v>NE</v>
      </c>
    </row>
    <row r="52" spans="1:12" ht="27" thickBot="1">
      <c r="A52" s="72"/>
      <c r="B52" s="74"/>
      <c r="C52" s="71"/>
      <c r="D52" s="71"/>
      <c r="E52" s="72"/>
      <c r="F52" s="70"/>
      <c r="G52" s="72" t="str">
        <f t="shared" ca="1" si="0"/>
        <v/>
      </c>
      <c r="H52" s="72"/>
      <c r="I52" s="71"/>
      <c r="L52" s="55" t="str">
        <f t="shared" ca="1" si="2"/>
        <v>NE</v>
      </c>
    </row>
    <row r="53" spans="1:12" ht="27" thickBot="1">
      <c r="A53" s="72"/>
      <c r="B53" s="74"/>
      <c r="C53" s="71"/>
      <c r="D53" s="71"/>
      <c r="E53" s="72"/>
      <c r="F53" s="70"/>
      <c r="G53" s="72" t="str">
        <f t="shared" ca="1" si="0"/>
        <v/>
      </c>
      <c r="H53" s="72"/>
      <c r="I53" s="71"/>
      <c r="L53" s="55" t="str">
        <f t="shared" ca="1" si="2"/>
        <v>NE</v>
      </c>
    </row>
    <row r="54" spans="1:12" ht="27" thickBot="1">
      <c r="A54" s="72"/>
      <c r="B54" s="74"/>
      <c r="C54" s="71"/>
      <c r="D54" s="71"/>
      <c r="E54" s="72"/>
      <c r="F54" s="70"/>
      <c r="G54" s="72" t="str">
        <f t="shared" ca="1" si="0"/>
        <v/>
      </c>
      <c r="H54" s="72"/>
      <c r="I54" s="71"/>
      <c r="L54" s="55" t="str">
        <f t="shared" ca="1" si="2"/>
        <v>NE</v>
      </c>
    </row>
    <row r="55" spans="1:12" ht="27" thickBot="1">
      <c r="A55" s="72"/>
      <c r="B55" s="74"/>
      <c r="C55" s="71"/>
      <c r="D55" s="71"/>
      <c r="E55" s="72"/>
      <c r="F55" s="70"/>
      <c r="G55" s="72" t="str">
        <f t="shared" ca="1" si="0"/>
        <v/>
      </c>
      <c r="H55" s="72"/>
      <c r="I55" s="71"/>
      <c r="L55" s="55" t="str">
        <f t="shared" ca="1" si="2"/>
        <v>NE</v>
      </c>
    </row>
    <row r="56" spans="1:12" ht="27" thickBot="1">
      <c r="A56" s="72"/>
      <c r="B56" s="74"/>
      <c r="C56" s="71"/>
      <c r="D56" s="71"/>
      <c r="E56" s="72"/>
      <c r="F56" s="70"/>
      <c r="G56" s="72" t="str">
        <f t="shared" ca="1" si="0"/>
        <v/>
      </c>
      <c r="H56" s="72"/>
      <c r="I56" s="71"/>
      <c r="L56" s="55" t="str">
        <f t="shared" ca="1" si="2"/>
        <v>NE</v>
      </c>
    </row>
    <row r="57" spans="1:12" ht="27" thickBot="1">
      <c r="A57" s="72"/>
      <c r="B57" s="74"/>
      <c r="C57" s="71"/>
      <c r="D57" s="71"/>
      <c r="E57" s="72"/>
      <c r="F57" s="70"/>
      <c r="G57" s="72" t="str">
        <f t="shared" ca="1" si="0"/>
        <v/>
      </c>
      <c r="H57" s="72"/>
      <c r="I57" s="71"/>
      <c r="L57" s="55" t="str">
        <f t="shared" ca="1" si="2"/>
        <v>NE</v>
      </c>
    </row>
    <row r="58" spans="1:12" ht="27" thickBot="1">
      <c r="A58" s="72"/>
      <c r="B58" s="74"/>
      <c r="C58" s="71"/>
      <c r="D58" s="71"/>
      <c r="E58" s="72"/>
      <c r="F58" s="70"/>
      <c r="G58" s="72" t="str">
        <f t="shared" ca="1" si="0"/>
        <v/>
      </c>
      <c r="H58" s="72"/>
      <c r="I58" s="71"/>
      <c r="L58" s="55" t="str">
        <f t="shared" ca="1" si="2"/>
        <v>NE</v>
      </c>
    </row>
    <row r="59" spans="1:12" ht="27" thickBot="1">
      <c r="A59" s="72"/>
      <c r="B59" s="74"/>
      <c r="C59" s="71"/>
      <c r="D59" s="71"/>
      <c r="E59" s="72"/>
      <c r="F59" s="70"/>
      <c r="G59" s="72" t="str">
        <f t="shared" ca="1" si="0"/>
        <v/>
      </c>
      <c r="H59" s="72"/>
      <c r="I59" s="71"/>
      <c r="L59" s="55" t="str">
        <f t="shared" ca="1" si="2"/>
        <v>NE</v>
      </c>
    </row>
    <row r="60" spans="1:12" ht="27" thickBot="1">
      <c r="A60" s="72"/>
      <c r="B60" s="74"/>
      <c r="C60" s="71"/>
      <c r="D60" s="71"/>
      <c r="E60" s="72"/>
      <c r="F60" s="70"/>
      <c r="G60" s="72" t="str">
        <f t="shared" ca="1" si="0"/>
        <v/>
      </c>
      <c r="H60" s="72"/>
      <c r="I60" s="71"/>
      <c r="L60" s="55" t="str">
        <f t="shared" ca="1" si="2"/>
        <v>NE</v>
      </c>
    </row>
    <row r="61" spans="1:12" ht="27" thickBot="1">
      <c r="A61" s="72"/>
      <c r="B61" s="74"/>
      <c r="C61" s="71"/>
      <c r="D61" s="71"/>
      <c r="E61" s="72"/>
      <c r="F61" s="70"/>
      <c r="G61" s="72" t="str">
        <f t="shared" ca="1" si="0"/>
        <v/>
      </c>
      <c r="H61" s="72"/>
      <c r="I61" s="71"/>
      <c r="L61" s="55" t="str">
        <f t="shared" ca="1" si="2"/>
        <v>NE</v>
      </c>
    </row>
    <row r="62" spans="1:12" ht="27" thickBot="1">
      <c r="A62" s="72"/>
      <c r="B62" s="74"/>
      <c r="C62" s="71"/>
      <c r="D62" s="71"/>
      <c r="E62" s="72"/>
      <c r="F62" s="70"/>
      <c r="G62" s="72" t="str">
        <f t="shared" ca="1" si="0"/>
        <v/>
      </c>
      <c r="H62" s="72"/>
      <c r="I62" s="71"/>
      <c r="L62" s="55" t="str">
        <f t="shared" ca="1" si="2"/>
        <v>NE</v>
      </c>
    </row>
    <row r="63" spans="1:12" ht="27" thickBot="1">
      <c r="A63" s="72"/>
      <c r="B63" s="74"/>
      <c r="C63" s="71"/>
      <c r="D63" s="71"/>
      <c r="E63" s="72"/>
      <c r="F63" s="70"/>
      <c r="G63" s="72" t="str">
        <f t="shared" ca="1" si="0"/>
        <v/>
      </c>
      <c r="H63" s="72"/>
      <c r="I63" s="71"/>
      <c r="L63" s="55" t="str">
        <f t="shared" ca="1" si="2"/>
        <v>NE</v>
      </c>
    </row>
    <row r="64" spans="1:12" ht="27" thickBot="1">
      <c r="A64" s="72"/>
      <c r="B64" s="74"/>
      <c r="C64" s="71"/>
      <c r="D64" s="71"/>
      <c r="E64" s="72"/>
      <c r="F64" s="70"/>
      <c r="G64" s="72" t="str">
        <f t="shared" ca="1" si="0"/>
        <v/>
      </c>
      <c r="H64" s="72"/>
      <c r="I64" s="71"/>
      <c r="L64" s="55" t="str">
        <f t="shared" ca="1" si="2"/>
        <v>NE</v>
      </c>
    </row>
    <row r="65" spans="1:12" ht="27" thickBot="1">
      <c r="A65" s="72"/>
      <c r="B65" s="74"/>
      <c r="C65" s="71"/>
      <c r="D65" s="71"/>
      <c r="E65" s="72"/>
      <c r="F65" s="70"/>
      <c r="G65" s="72" t="str">
        <f t="shared" ca="1" si="0"/>
        <v/>
      </c>
      <c r="H65" s="72"/>
      <c r="I65" s="71"/>
      <c r="L65" s="55" t="str">
        <f t="shared" ca="1" si="2"/>
        <v>NE</v>
      </c>
    </row>
    <row r="66" spans="1:12" ht="27" thickBot="1">
      <c r="A66" s="72"/>
      <c r="B66" s="74"/>
      <c r="C66" s="71"/>
      <c r="D66" s="71"/>
      <c r="E66" s="72"/>
      <c r="F66" s="70"/>
      <c r="G66" s="72" t="str">
        <f t="shared" ca="1" si="0"/>
        <v/>
      </c>
      <c r="H66" s="72"/>
      <c r="I66" s="71"/>
      <c r="L66" s="55" t="str">
        <f t="shared" ca="1" si="2"/>
        <v>NE</v>
      </c>
    </row>
    <row r="67" spans="1:12" ht="27" thickBot="1">
      <c r="A67" s="72"/>
      <c r="B67" s="74"/>
      <c r="C67" s="71"/>
      <c r="D67" s="71"/>
      <c r="E67" s="72"/>
      <c r="F67" s="70"/>
      <c r="G67" s="72" t="str">
        <f t="shared" ca="1" si="0"/>
        <v/>
      </c>
      <c r="H67" s="72"/>
      <c r="I67" s="71"/>
      <c r="L67" s="55" t="str">
        <f t="shared" ca="1" si="2"/>
        <v>NE</v>
      </c>
    </row>
    <row r="68" spans="1:12" ht="27" thickBot="1">
      <c r="A68" s="72"/>
      <c r="B68" s="74"/>
      <c r="C68" s="71"/>
      <c r="D68" s="71"/>
      <c r="E68" s="72"/>
      <c r="F68" s="70"/>
      <c r="G68" s="72" t="str">
        <f t="shared" ref="G68:G131" ca="1" si="3">IF(ISBLANK(F68),"",IF(F68&gt;=TODAY(), "Non Echue", "Echue"))</f>
        <v/>
      </c>
      <c r="H68" s="72"/>
      <c r="I68" s="71"/>
      <c r="L68" s="55" t="str">
        <f t="shared" ca="1" si="2"/>
        <v>NE</v>
      </c>
    </row>
    <row r="69" spans="1:12" ht="27" thickBot="1">
      <c r="A69" s="72"/>
      <c r="B69" s="74"/>
      <c r="C69" s="71"/>
      <c r="D69" s="71"/>
      <c r="E69" s="72"/>
      <c r="F69" s="70"/>
      <c r="G69" s="72" t="str">
        <f t="shared" ca="1" si="3"/>
        <v/>
      </c>
      <c r="H69" s="72"/>
      <c r="I69" s="71"/>
      <c r="L69" s="55" t="str">
        <f t="shared" ca="1" si="2"/>
        <v>NE</v>
      </c>
    </row>
    <row r="70" spans="1:12" ht="27" thickBot="1">
      <c r="A70" s="72"/>
      <c r="B70" s="74"/>
      <c r="C70" s="71"/>
      <c r="D70" s="71"/>
      <c r="E70" s="72"/>
      <c r="F70" s="70"/>
      <c r="G70" s="72" t="str">
        <f t="shared" ca="1" si="3"/>
        <v/>
      </c>
      <c r="H70" s="72"/>
      <c r="I70" s="71"/>
      <c r="L70" s="55" t="str">
        <f t="shared" ca="1" si="2"/>
        <v>NE</v>
      </c>
    </row>
    <row r="71" spans="1:12" ht="27" thickBot="1">
      <c r="A71" s="72"/>
      <c r="B71" s="74"/>
      <c r="C71" s="71"/>
      <c r="D71" s="71"/>
      <c r="E71" s="72"/>
      <c r="F71" s="70"/>
      <c r="G71" s="72" t="str">
        <f t="shared" ca="1" si="3"/>
        <v/>
      </c>
      <c r="H71" s="72"/>
      <c r="I71" s="71"/>
      <c r="L71" s="55" t="str">
        <f t="shared" ca="1" si="2"/>
        <v>NE</v>
      </c>
    </row>
    <row r="72" spans="1:12" ht="27" thickBot="1">
      <c r="A72" s="72"/>
      <c r="B72" s="74"/>
      <c r="C72" s="71"/>
      <c r="D72" s="71"/>
      <c r="E72" s="72"/>
      <c r="F72" s="70"/>
      <c r="G72" s="72" t="str">
        <f t="shared" ca="1" si="3"/>
        <v/>
      </c>
      <c r="H72" s="72"/>
      <c r="I72" s="71"/>
      <c r="L72" s="55" t="str">
        <f t="shared" ca="1" si="2"/>
        <v>NE</v>
      </c>
    </row>
    <row r="73" spans="1:12" ht="27" thickBot="1">
      <c r="A73" s="72"/>
      <c r="B73" s="74"/>
      <c r="C73" s="71"/>
      <c r="D73" s="71"/>
      <c r="E73" s="72"/>
      <c r="F73" s="70"/>
      <c r="G73" s="72" t="str">
        <f t="shared" ca="1" si="3"/>
        <v/>
      </c>
      <c r="H73" s="72"/>
      <c r="I73" s="71"/>
      <c r="L73" s="55" t="str">
        <f t="shared" ca="1" si="2"/>
        <v>NE</v>
      </c>
    </row>
    <row r="74" spans="1:12" ht="27" thickBot="1">
      <c r="A74" s="72"/>
      <c r="B74" s="74"/>
      <c r="C74" s="71"/>
      <c r="D74" s="71"/>
      <c r="E74" s="72"/>
      <c r="F74" s="70"/>
      <c r="G74" s="72" t="str">
        <f t="shared" ca="1" si="3"/>
        <v/>
      </c>
      <c r="H74" s="72"/>
      <c r="I74" s="71"/>
      <c r="L74" s="55" t="str">
        <f t="shared" ca="1" si="2"/>
        <v>NE</v>
      </c>
    </row>
    <row r="75" spans="1:12" ht="27" thickBot="1">
      <c r="A75" s="72"/>
      <c r="B75" s="74"/>
      <c r="C75" s="71"/>
      <c r="D75" s="71"/>
      <c r="E75" s="72"/>
      <c r="F75" s="70"/>
      <c r="G75" s="72" t="str">
        <f t="shared" ca="1" si="3"/>
        <v/>
      </c>
      <c r="H75" s="72"/>
      <c r="I75" s="71"/>
      <c r="L75" s="55" t="str">
        <f t="shared" ca="1" si="2"/>
        <v>NE</v>
      </c>
    </row>
    <row r="76" spans="1:12" ht="27" thickBot="1">
      <c r="A76" s="72"/>
      <c r="B76" s="74"/>
      <c r="C76" s="71"/>
      <c r="D76" s="71"/>
      <c r="E76" s="72"/>
      <c r="F76" s="70"/>
      <c r="G76" s="72" t="str">
        <f t="shared" ca="1" si="3"/>
        <v/>
      </c>
      <c r="H76" s="72"/>
      <c r="I76" s="71"/>
      <c r="L76" s="55" t="str">
        <f t="shared" ca="1" si="2"/>
        <v>NE</v>
      </c>
    </row>
    <row r="77" spans="1:12" ht="27" thickBot="1">
      <c r="A77" s="72"/>
      <c r="B77" s="74"/>
      <c r="C77" s="71"/>
      <c r="D77" s="71"/>
      <c r="E77" s="72"/>
      <c r="F77" s="70"/>
      <c r="G77" s="72" t="str">
        <f t="shared" ca="1" si="3"/>
        <v/>
      </c>
      <c r="H77" s="72"/>
      <c r="I77" s="71"/>
      <c r="L77" s="55" t="str">
        <f t="shared" ca="1" si="2"/>
        <v>NE</v>
      </c>
    </row>
    <row r="78" spans="1:12" ht="27" thickBot="1">
      <c r="A78" s="72"/>
      <c r="B78" s="74"/>
      <c r="C78" s="71"/>
      <c r="D78" s="71"/>
      <c r="E78" s="72"/>
      <c r="F78" s="70"/>
      <c r="G78" s="72" t="str">
        <f t="shared" ca="1" si="3"/>
        <v/>
      </c>
      <c r="H78" s="72"/>
      <c r="I78" s="71"/>
      <c r="L78" s="55" t="str">
        <f t="shared" ca="1" si="2"/>
        <v>NE</v>
      </c>
    </row>
    <row r="79" spans="1:12" ht="27" thickBot="1">
      <c r="A79" s="72"/>
      <c r="B79" s="74"/>
      <c r="C79" s="71"/>
      <c r="D79" s="71"/>
      <c r="E79" s="72"/>
      <c r="F79" s="70"/>
      <c r="G79" s="72" t="str">
        <f t="shared" ca="1" si="3"/>
        <v/>
      </c>
      <c r="H79" s="72"/>
      <c r="I79" s="71"/>
      <c r="L79" s="55" t="str">
        <f t="shared" ca="1" si="2"/>
        <v>NE</v>
      </c>
    </row>
    <row r="80" spans="1:12" ht="27" thickBot="1">
      <c r="A80" s="72"/>
      <c r="B80" s="74"/>
      <c r="C80" s="71"/>
      <c r="D80" s="71"/>
      <c r="E80" s="72"/>
      <c r="F80" s="70"/>
      <c r="G80" s="72" t="str">
        <f t="shared" ca="1" si="3"/>
        <v/>
      </c>
      <c r="H80" s="72"/>
      <c r="I80" s="71"/>
      <c r="L80" s="55" t="str">
        <f t="shared" ca="1" si="2"/>
        <v>NE</v>
      </c>
    </row>
    <row r="81" spans="1:12" ht="27" thickBot="1">
      <c r="A81" s="72"/>
      <c r="B81" s="74"/>
      <c r="C81" s="71"/>
      <c r="D81" s="71"/>
      <c r="E81" s="72"/>
      <c r="F81" s="70"/>
      <c r="G81" s="72" t="str">
        <f t="shared" ca="1" si="3"/>
        <v/>
      </c>
      <c r="H81" s="72"/>
      <c r="I81" s="71"/>
      <c r="L81" s="55" t="str">
        <f t="shared" ca="1" si="2"/>
        <v>NE</v>
      </c>
    </row>
    <row r="82" spans="1:12" ht="27" thickBot="1">
      <c r="A82" s="72"/>
      <c r="B82" s="74"/>
      <c r="C82" s="71"/>
      <c r="D82" s="71"/>
      <c r="E82" s="72"/>
      <c r="F82" s="70"/>
      <c r="G82" s="72" t="str">
        <f t="shared" ca="1" si="3"/>
        <v/>
      </c>
      <c r="H82" s="72"/>
      <c r="I82" s="71"/>
      <c r="L82" s="55" t="str">
        <f t="shared" ca="1" si="2"/>
        <v>NE</v>
      </c>
    </row>
    <row r="83" spans="1:12" ht="27" thickBot="1">
      <c r="A83" s="72"/>
      <c r="B83" s="74"/>
      <c r="C83" s="71"/>
      <c r="D83" s="71"/>
      <c r="E83" s="72"/>
      <c r="F83" s="70"/>
      <c r="G83" s="72" t="str">
        <f t="shared" ca="1" si="3"/>
        <v/>
      </c>
      <c r="H83" s="72"/>
      <c r="I83" s="71"/>
      <c r="L83" s="55" t="str">
        <f t="shared" ca="1" si="2"/>
        <v>NE</v>
      </c>
    </row>
    <row r="84" spans="1:12" ht="27" thickBot="1">
      <c r="A84" s="72"/>
      <c r="B84" s="74"/>
      <c r="C84" s="71"/>
      <c r="D84" s="71"/>
      <c r="E84" s="72"/>
      <c r="F84" s="70"/>
      <c r="G84" s="72" t="str">
        <f t="shared" ca="1" si="3"/>
        <v/>
      </c>
      <c r="H84" s="72"/>
      <c r="I84" s="71"/>
      <c r="L84" s="55" t="str">
        <f t="shared" ca="1" si="2"/>
        <v>NE</v>
      </c>
    </row>
    <row r="85" spans="1:12" ht="27" thickBot="1">
      <c r="A85" s="72"/>
      <c r="B85" s="74"/>
      <c r="C85" s="71"/>
      <c r="D85" s="71"/>
      <c r="E85" s="72"/>
      <c r="F85" s="70"/>
      <c r="G85" s="72" t="str">
        <f t="shared" ca="1" si="3"/>
        <v/>
      </c>
      <c r="H85" s="72"/>
      <c r="I85" s="71"/>
      <c r="L85" s="55" t="str">
        <f t="shared" ca="1" si="2"/>
        <v>NE</v>
      </c>
    </row>
    <row r="86" spans="1:12" ht="27" thickBot="1">
      <c r="A86" s="72"/>
      <c r="B86" s="74"/>
      <c r="C86" s="71"/>
      <c r="D86" s="71"/>
      <c r="E86" s="72"/>
      <c r="F86" s="70"/>
      <c r="G86" s="72" t="str">
        <f t="shared" ca="1" si="3"/>
        <v/>
      </c>
      <c r="H86" s="72"/>
      <c r="I86" s="71"/>
      <c r="L86" s="55" t="str">
        <f t="shared" ca="1" si="2"/>
        <v>NE</v>
      </c>
    </row>
    <row r="87" spans="1:12" ht="27" thickBot="1">
      <c r="A87" s="72"/>
      <c r="B87" s="74"/>
      <c r="C87" s="71"/>
      <c r="D87" s="71"/>
      <c r="E87" s="72"/>
      <c r="F87" s="70"/>
      <c r="G87" s="72" t="str">
        <f t="shared" ca="1" si="3"/>
        <v/>
      </c>
      <c r="H87" s="72"/>
      <c r="I87" s="71"/>
      <c r="L87" s="55" t="str">
        <f t="shared" ca="1" si="2"/>
        <v>NE</v>
      </c>
    </row>
    <row r="88" spans="1:12" ht="27" thickBot="1">
      <c r="A88" s="72"/>
      <c r="B88" s="74"/>
      <c r="C88" s="71"/>
      <c r="D88" s="71"/>
      <c r="E88" s="72"/>
      <c r="F88" s="70"/>
      <c r="G88" s="72" t="str">
        <f t="shared" ca="1" si="3"/>
        <v/>
      </c>
      <c r="H88" s="72"/>
      <c r="I88" s="71"/>
      <c r="L88" s="55" t="str">
        <f t="shared" ca="1" si="2"/>
        <v>NE</v>
      </c>
    </row>
    <row r="89" spans="1:12" ht="27" thickBot="1">
      <c r="A89" s="72"/>
      <c r="B89" s="74"/>
      <c r="C89" s="71"/>
      <c r="D89" s="71"/>
      <c r="E89" s="72"/>
      <c r="F89" s="70"/>
      <c r="G89" s="72" t="str">
        <f t="shared" ca="1" si="3"/>
        <v/>
      </c>
      <c r="H89" s="72"/>
      <c r="I89" s="71"/>
      <c r="L89" s="55" t="str">
        <f t="shared" ca="1" si="2"/>
        <v>NE</v>
      </c>
    </row>
    <row r="90" spans="1:12" ht="27" thickBot="1">
      <c r="A90" s="72"/>
      <c r="B90" s="74"/>
      <c r="C90" s="71"/>
      <c r="D90" s="71"/>
      <c r="E90" s="72"/>
      <c r="F90" s="70"/>
      <c r="G90" s="72" t="str">
        <f t="shared" ca="1" si="3"/>
        <v/>
      </c>
      <c r="H90" s="72"/>
      <c r="I90" s="71"/>
      <c r="L90" s="55" t="str">
        <f t="shared" ca="1" si="2"/>
        <v>NE</v>
      </c>
    </row>
    <row r="91" spans="1:12" ht="27" thickBot="1">
      <c r="A91" s="72"/>
      <c r="B91" s="74"/>
      <c r="C91" s="71"/>
      <c r="D91" s="71"/>
      <c r="E91" s="72"/>
      <c r="F91" s="70"/>
      <c r="G91" s="72" t="str">
        <f t="shared" ca="1" si="3"/>
        <v/>
      </c>
      <c r="H91" s="72"/>
      <c r="I91" s="71"/>
      <c r="L91" s="55" t="str">
        <f t="shared" ca="1" si="2"/>
        <v>NE</v>
      </c>
    </row>
    <row r="92" spans="1:12" ht="27" thickBot="1">
      <c r="A92" s="72"/>
      <c r="B92" s="74"/>
      <c r="C92" s="71"/>
      <c r="D92" s="71"/>
      <c r="E92" s="72"/>
      <c r="F92" s="70"/>
      <c r="G92" s="72" t="str">
        <f t="shared" ca="1" si="3"/>
        <v/>
      </c>
      <c r="H92" s="72"/>
      <c r="I92" s="71"/>
      <c r="L92" s="55" t="str">
        <f t="shared" ca="1" si="2"/>
        <v>NE</v>
      </c>
    </row>
    <row r="93" spans="1:12" ht="27" thickBot="1">
      <c r="A93" s="72"/>
      <c r="B93" s="74"/>
      <c r="C93" s="71"/>
      <c r="D93" s="71"/>
      <c r="E93" s="72"/>
      <c r="F93" s="70"/>
      <c r="G93" s="72" t="str">
        <f t="shared" ca="1" si="3"/>
        <v/>
      </c>
      <c r="H93" s="72"/>
      <c r="I93" s="71"/>
      <c r="L93" s="55" t="str">
        <f t="shared" ca="1" si="2"/>
        <v>NE</v>
      </c>
    </row>
    <row r="94" spans="1:12" ht="27" thickBot="1">
      <c r="A94" s="72"/>
      <c r="B94" s="74"/>
      <c r="C94" s="71"/>
      <c r="D94" s="71"/>
      <c r="E94" s="72"/>
      <c r="F94" s="70"/>
      <c r="G94" s="72" t="str">
        <f t="shared" ca="1" si="3"/>
        <v/>
      </c>
      <c r="H94" s="72"/>
      <c r="I94" s="71"/>
      <c r="L94" s="55" t="str">
        <f t="shared" ca="1" si="2"/>
        <v>NE</v>
      </c>
    </row>
    <row r="95" spans="1:12" ht="27" thickBot="1">
      <c r="A95" s="72"/>
      <c r="B95" s="74"/>
      <c r="C95" s="71"/>
      <c r="D95" s="71"/>
      <c r="E95" s="72"/>
      <c r="F95" s="70"/>
      <c r="G95" s="72" t="str">
        <f t="shared" ca="1" si="3"/>
        <v/>
      </c>
      <c r="H95" s="72"/>
      <c r="I95" s="71"/>
      <c r="L95" s="55" t="str">
        <f t="shared" ca="1" si="2"/>
        <v>NE</v>
      </c>
    </row>
    <row r="96" spans="1:12" ht="27" thickBot="1">
      <c r="A96" s="72"/>
      <c r="B96" s="74"/>
      <c r="C96" s="71"/>
      <c r="D96" s="71"/>
      <c r="E96" s="72"/>
      <c r="F96" s="70"/>
      <c r="G96" s="72" t="str">
        <f t="shared" ca="1" si="3"/>
        <v/>
      </c>
      <c r="H96" s="72"/>
      <c r="I96" s="71"/>
      <c r="L96" s="55" t="str">
        <f t="shared" ca="1" si="2"/>
        <v>NE</v>
      </c>
    </row>
    <row r="97" spans="1:12" ht="27" thickBot="1">
      <c r="A97" s="72"/>
      <c r="B97" s="74"/>
      <c r="C97" s="71"/>
      <c r="D97" s="71"/>
      <c r="E97" s="72"/>
      <c r="F97" s="70"/>
      <c r="G97" s="72" t="str">
        <f t="shared" ca="1" si="3"/>
        <v/>
      </c>
      <c r="H97" s="72"/>
      <c r="I97" s="71"/>
      <c r="L97" s="55" t="str">
        <f t="shared" ca="1" si="2"/>
        <v>NE</v>
      </c>
    </row>
    <row r="98" spans="1:12" ht="27" thickBot="1">
      <c r="A98" s="72"/>
      <c r="B98" s="74"/>
      <c r="C98" s="71"/>
      <c r="D98" s="71"/>
      <c r="E98" s="72"/>
      <c r="F98" s="70"/>
      <c r="G98" s="72" t="str">
        <f t="shared" ca="1" si="3"/>
        <v/>
      </c>
      <c r="H98" s="72"/>
      <c r="I98" s="71"/>
      <c r="L98" s="55" t="str">
        <f t="shared" ca="1" si="2"/>
        <v>NE</v>
      </c>
    </row>
    <row r="99" spans="1:12" ht="27" thickBot="1">
      <c r="A99" s="72"/>
      <c r="B99" s="74"/>
      <c r="C99" s="71"/>
      <c r="D99" s="71"/>
      <c r="E99" s="72"/>
      <c r="F99" s="70"/>
      <c r="G99" s="72" t="str">
        <f t="shared" ca="1" si="3"/>
        <v/>
      </c>
      <c r="H99" s="72"/>
      <c r="I99" s="71"/>
      <c r="L99" s="55" t="str">
        <f t="shared" ca="1" si="2"/>
        <v>NE</v>
      </c>
    </row>
    <row r="100" spans="1:12" ht="27" thickBot="1">
      <c r="A100" s="72"/>
      <c r="B100" s="74"/>
      <c r="C100" s="71"/>
      <c r="D100" s="71"/>
      <c r="E100" s="72"/>
      <c r="F100" s="70"/>
      <c r="G100" s="72" t="str">
        <f t="shared" ca="1" si="3"/>
        <v/>
      </c>
      <c r="H100" s="72"/>
      <c r="I100" s="71"/>
      <c r="L100" s="55" t="str">
        <f t="shared" ca="1" si="2"/>
        <v>NE</v>
      </c>
    </row>
    <row r="101" spans="1:12" ht="27" thickBot="1">
      <c r="A101" s="72"/>
      <c r="B101" s="74"/>
      <c r="C101" s="71"/>
      <c r="D101" s="71"/>
      <c r="E101" s="72"/>
      <c r="F101" s="70"/>
      <c r="G101" s="72" t="str">
        <f t="shared" ca="1" si="3"/>
        <v/>
      </c>
      <c r="H101" s="72"/>
      <c r="I101" s="71"/>
      <c r="L101" s="55" t="str">
        <f t="shared" ca="1" si="2"/>
        <v>NE</v>
      </c>
    </row>
    <row r="102" spans="1:12" ht="27" thickBot="1">
      <c r="A102" s="72"/>
      <c r="B102" s="74"/>
      <c r="C102" s="71"/>
      <c r="D102" s="71"/>
      <c r="E102" s="72"/>
      <c r="F102" s="70"/>
      <c r="G102" s="72" t="str">
        <f t="shared" ca="1" si="3"/>
        <v/>
      </c>
      <c r="H102" s="72"/>
      <c r="I102" s="71"/>
      <c r="L102" s="55" t="str">
        <f t="shared" ca="1" si="2"/>
        <v>NE</v>
      </c>
    </row>
    <row r="103" spans="1:12" ht="27" thickBot="1">
      <c r="A103" s="72"/>
      <c r="B103" s="74"/>
      <c r="C103" s="71"/>
      <c r="D103" s="71"/>
      <c r="E103" s="72"/>
      <c r="F103" s="70"/>
      <c r="G103" s="72" t="str">
        <f t="shared" ca="1" si="3"/>
        <v/>
      </c>
      <c r="H103" s="72"/>
      <c r="I103" s="71"/>
      <c r="L103" s="55" t="str">
        <f t="shared" ca="1" si="2"/>
        <v>NE</v>
      </c>
    </row>
    <row r="104" spans="1:12" ht="27" thickBot="1">
      <c r="A104" s="72"/>
      <c r="B104" s="74"/>
      <c r="C104" s="71"/>
      <c r="D104" s="71"/>
      <c r="E104" s="72"/>
      <c r="F104" s="70"/>
      <c r="G104" s="72" t="str">
        <f t="shared" ca="1" si="3"/>
        <v/>
      </c>
      <c r="H104" s="72"/>
      <c r="I104" s="71"/>
      <c r="L104" s="55" t="str">
        <f t="shared" ca="1" si="2"/>
        <v>NE</v>
      </c>
    </row>
    <row r="105" spans="1:12" ht="27" thickBot="1">
      <c r="A105" s="72"/>
      <c r="B105" s="74"/>
      <c r="C105" s="71"/>
      <c r="D105" s="71"/>
      <c r="E105" s="72"/>
      <c r="F105" s="70"/>
      <c r="G105" s="72" t="str">
        <f t="shared" ca="1" si="3"/>
        <v/>
      </c>
      <c r="H105" s="72"/>
      <c r="I105" s="71"/>
      <c r="L105" s="55" t="str">
        <f t="shared" ca="1" si="2"/>
        <v>NE</v>
      </c>
    </row>
    <row r="106" spans="1:12" ht="27" thickBot="1">
      <c r="A106" s="72"/>
      <c r="B106" s="74"/>
      <c r="C106" s="71"/>
      <c r="D106" s="71"/>
      <c r="E106" s="72"/>
      <c r="F106" s="70"/>
      <c r="G106" s="72" t="str">
        <f t="shared" ca="1" si="3"/>
        <v/>
      </c>
      <c r="H106" s="72"/>
      <c r="I106" s="71"/>
      <c r="L106" s="55" t="str">
        <f t="shared" ca="1" si="2"/>
        <v>NE</v>
      </c>
    </row>
    <row r="107" spans="1:12" ht="27" thickBot="1">
      <c r="A107" s="72"/>
      <c r="B107" s="74"/>
      <c r="C107" s="71"/>
      <c r="D107" s="71"/>
      <c r="E107" s="72"/>
      <c r="F107" s="70"/>
      <c r="G107" s="72" t="str">
        <f t="shared" ca="1" si="3"/>
        <v/>
      </c>
      <c r="H107" s="72"/>
      <c r="I107" s="71"/>
      <c r="L107" s="55" t="str">
        <f t="shared" ca="1" si="2"/>
        <v>NE</v>
      </c>
    </row>
    <row r="108" spans="1:12" ht="27" thickBot="1">
      <c r="A108" s="72"/>
      <c r="B108" s="74"/>
      <c r="C108" s="71"/>
      <c r="D108" s="71"/>
      <c r="E108" s="72"/>
      <c r="F108" s="70"/>
      <c r="G108" s="72" t="str">
        <f t="shared" ca="1" si="3"/>
        <v/>
      </c>
      <c r="H108" s="72"/>
      <c r="I108" s="71"/>
      <c r="L108" s="55" t="str">
        <f t="shared" ca="1" si="2"/>
        <v>NE</v>
      </c>
    </row>
    <row r="109" spans="1:12" ht="27" thickBot="1">
      <c r="A109" s="72"/>
      <c r="B109" s="74"/>
      <c r="C109" s="71"/>
      <c r="D109" s="71"/>
      <c r="E109" s="72"/>
      <c r="F109" s="70"/>
      <c r="G109" s="72" t="str">
        <f t="shared" ca="1" si="3"/>
        <v/>
      </c>
      <c r="H109" s="72"/>
      <c r="I109" s="71"/>
      <c r="L109" s="55" t="str">
        <f t="shared" ca="1" si="2"/>
        <v>NE</v>
      </c>
    </row>
    <row r="110" spans="1:12" ht="27" thickBot="1">
      <c r="A110" s="72"/>
      <c r="B110" s="74"/>
      <c r="C110" s="71"/>
      <c r="D110" s="71"/>
      <c r="E110" s="72"/>
      <c r="F110" s="70"/>
      <c r="G110" s="72" t="str">
        <f t="shared" ca="1" si="3"/>
        <v/>
      </c>
      <c r="H110" s="72"/>
      <c r="I110" s="71"/>
      <c r="L110" s="55" t="str">
        <f t="shared" ref="L110:L173" ca="1" si="4" xml:space="preserve"> IF(G110 = "Echue",IF(H110 = "Appliqué","EAP","NAP"),"NE")</f>
        <v>NE</v>
      </c>
    </row>
    <row r="111" spans="1:12" ht="27" thickBot="1">
      <c r="A111" s="72"/>
      <c r="B111" s="74"/>
      <c r="C111" s="71"/>
      <c r="D111" s="71"/>
      <c r="E111" s="72"/>
      <c r="F111" s="70"/>
      <c r="G111" s="72" t="str">
        <f t="shared" ca="1" si="3"/>
        <v/>
      </c>
      <c r="H111" s="72"/>
      <c r="I111" s="71"/>
      <c r="L111" s="55" t="str">
        <f t="shared" ca="1" si="4"/>
        <v>NE</v>
      </c>
    </row>
    <row r="112" spans="1:12" ht="27" thickBot="1">
      <c r="A112" s="72"/>
      <c r="B112" s="74"/>
      <c r="C112" s="71"/>
      <c r="D112" s="71"/>
      <c r="E112" s="72"/>
      <c r="F112" s="70"/>
      <c r="G112" s="72" t="str">
        <f t="shared" ca="1" si="3"/>
        <v/>
      </c>
      <c r="H112" s="72"/>
      <c r="I112" s="71"/>
      <c r="L112" s="55" t="str">
        <f t="shared" ca="1" si="4"/>
        <v>NE</v>
      </c>
    </row>
    <row r="113" spans="1:12" ht="27" thickBot="1">
      <c r="A113" s="72"/>
      <c r="B113" s="74"/>
      <c r="C113" s="71"/>
      <c r="D113" s="71"/>
      <c r="E113" s="72"/>
      <c r="F113" s="70"/>
      <c r="G113" s="72" t="str">
        <f t="shared" ca="1" si="3"/>
        <v/>
      </c>
      <c r="H113" s="72"/>
      <c r="I113" s="71"/>
      <c r="L113" s="55" t="str">
        <f t="shared" ca="1" si="4"/>
        <v>NE</v>
      </c>
    </row>
    <row r="114" spans="1:12" ht="27" thickBot="1">
      <c r="A114" s="72"/>
      <c r="B114" s="74"/>
      <c r="C114" s="71"/>
      <c r="D114" s="71"/>
      <c r="E114" s="72"/>
      <c r="F114" s="70"/>
      <c r="G114" s="72" t="str">
        <f t="shared" ca="1" si="3"/>
        <v/>
      </c>
      <c r="H114" s="72"/>
      <c r="I114" s="71"/>
      <c r="L114" s="55" t="str">
        <f t="shared" ca="1" si="4"/>
        <v>NE</v>
      </c>
    </row>
    <row r="115" spans="1:12" ht="27" thickBot="1">
      <c r="A115" s="72"/>
      <c r="B115" s="74"/>
      <c r="C115" s="71"/>
      <c r="D115" s="71"/>
      <c r="E115" s="72"/>
      <c r="F115" s="70"/>
      <c r="G115" s="72" t="str">
        <f t="shared" ca="1" si="3"/>
        <v/>
      </c>
      <c r="H115" s="72"/>
      <c r="I115" s="71"/>
      <c r="L115" s="55" t="str">
        <f t="shared" ca="1" si="4"/>
        <v>NE</v>
      </c>
    </row>
    <row r="116" spans="1:12" ht="27" thickBot="1">
      <c r="A116" s="72"/>
      <c r="B116" s="74"/>
      <c r="C116" s="71"/>
      <c r="D116" s="71"/>
      <c r="E116" s="72"/>
      <c r="F116" s="70"/>
      <c r="G116" s="72" t="str">
        <f t="shared" ca="1" si="3"/>
        <v/>
      </c>
      <c r="H116" s="72"/>
      <c r="I116" s="71"/>
      <c r="L116" s="55" t="str">
        <f t="shared" ca="1" si="4"/>
        <v>NE</v>
      </c>
    </row>
    <row r="117" spans="1:12" ht="27" thickBot="1">
      <c r="A117" s="72"/>
      <c r="B117" s="74"/>
      <c r="C117" s="71"/>
      <c r="D117" s="71"/>
      <c r="E117" s="72"/>
      <c r="F117" s="70"/>
      <c r="G117" s="72" t="str">
        <f t="shared" ca="1" si="3"/>
        <v/>
      </c>
      <c r="H117" s="72"/>
      <c r="I117" s="71"/>
      <c r="L117" s="55" t="str">
        <f t="shared" ca="1" si="4"/>
        <v>NE</v>
      </c>
    </row>
    <row r="118" spans="1:12" ht="27" thickBot="1">
      <c r="A118" s="72"/>
      <c r="B118" s="74"/>
      <c r="C118" s="71"/>
      <c r="D118" s="71"/>
      <c r="E118" s="72"/>
      <c r="F118" s="70"/>
      <c r="G118" s="72" t="str">
        <f t="shared" ca="1" si="3"/>
        <v/>
      </c>
      <c r="H118" s="72"/>
      <c r="I118" s="71"/>
      <c r="L118" s="55" t="str">
        <f t="shared" ca="1" si="4"/>
        <v>NE</v>
      </c>
    </row>
    <row r="119" spans="1:12" ht="27" thickBot="1">
      <c r="A119" s="72"/>
      <c r="B119" s="74"/>
      <c r="C119" s="71"/>
      <c r="D119" s="71"/>
      <c r="E119" s="72"/>
      <c r="F119" s="70"/>
      <c r="G119" s="72" t="str">
        <f t="shared" ca="1" si="3"/>
        <v/>
      </c>
      <c r="H119" s="72"/>
      <c r="I119" s="71"/>
      <c r="L119" s="55" t="str">
        <f t="shared" ca="1" si="4"/>
        <v>NE</v>
      </c>
    </row>
    <row r="120" spans="1:12" ht="27" thickBot="1">
      <c r="A120" s="72"/>
      <c r="B120" s="74"/>
      <c r="C120" s="71"/>
      <c r="D120" s="71"/>
      <c r="E120" s="72"/>
      <c r="F120" s="70"/>
      <c r="G120" s="72" t="str">
        <f t="shared" ca="1" si="3"/>
        <v/>
      </c>
      <c r="H120" s="72"/>
      <c r="I120" s="71"/>
      <c r="L120" s="55" t="str">
        <f t="shared" ca="1" si="4"/>
        <v>NE</v>
      </c>
    </row>
    <row r="121" spans="1:12" ht="27" thickBot="1">
      <c r="A121" s="72"/>
      <c r="B121" s="74"/>
      <c r="C121" s="71"/>
      <c r="D121" s="71"/>
      <c r="E121" s="72"/>
      <c r="F121" s="70"/>
      <c r="G121" s="72" t="str">
        <f t="shared" ca="1" si="3"/>
        <v/>
      </c>
      <c r="H121" s="72"/>
      <c r="I121" s="71"/>
      <c r="L121" s="55" t="str">
        <f t="shared" ca="1" si="4"/>
        <v>NE</v>
      </c>
    </row>
    <row r="122" spans="1:12" ht="27" thickBot="1">
      <c r="A122" s="72"/>
      <c r="B122" s="74"/>
      <c r="C122" s="71"/>
      <c r="D122" s="71"/>
      <c r="E122" s="72"/>
      <c r="F122" s="70"/>
      <c r="G122" s="72" t="str">
        <f t="shared" ca="1" si="3"/>
        <v/>
      </c>
      <c r="H122" s="72"/>
      <c r="I122" s="71"/>
      <c r="L122" s="55" t="str">
        <f t="shared" ca="1" si="4"/>
        <v>NE</v>
      </c>
    </row>
    <row r="123" spans="1:12" ht="27" thickBot="1">
      <c r="A123" s="72"/>
      <c r="B123" s="74"/>
      <c r="C123" s="71"/>
      <c r="D123" s="71"/>
      <c r="E123" s="72"/>
      <c r="F123" s="70"/>
      <c r="G123" s="72" t="str">
        <f t="shared" ca="1" si="3"/>
        <v/>
      </c>
      <c r="H123" s="72"/>
      <c r="I123" s="71"/>
      <c r="L123" s="55" t="str">
        <f t="shared" ca="1" si="4"/>
        <v>NE</v>
      </c>
    </row>
    <row r="124" spans="1:12" ht="27" thickBot="1">
      <c r="A124" s="72"/>
      <c r="B124" s="74"/>
      <c r="C124" s="71"/>
      <c r="D124" s="71"/>
      <c r="E124" s="72"/>
      <c r="F124" s="70"/>
      <c r="G124" s="72" t="str">
        <f t="shared" ca="1" si="3"/>
        <v/>
      </c>
      <c r="H124" s="72"/>
      <c r="I124" s="71"/>
      <c r="L124" s="55" t="str">
        <f t="shared" ca="1" si="4"/>
        <v>NE</v>
      </c>
    </row>
    <row r="125" spans="1:12" ht="27" thickBot="1">
      <c r="A125" s="72"/>
      <c r="B125" s="74"/>
      <c r="C125" s="71"/>
      <c r="D125" s="71"/>
      <c r="E125" s="72"/>
      <c r="F125" s="70"/>
      <c r="G125" s="72" t="str">
        <f t="shared" ca="1" si="3"/>
        <v/>
      </c>
      <c r="H125" s="72"/>
      <c r="I125" s="71"/>
      <c r="L125" s="55" t="str">
        <f t="shared" ca="1" si="4"/>
        <v>NE</v>
      </c>
    </row>
    <row r="126" spans="1:12" ht="27" thickBot="1">
      <c r="A126" s="72"/>
      <c r="B126" s="74"/>
      <c r="C126" s="71"/>
      <c r="D126" s="71"/>
      <c r="E126" s="72"/>
      <c r="F126" s="70"/>
      <c r="G126" s="72" t="str">
        <f t="shared" ca="1" si="3"/>
        <v/>
      </c>
      <c r="H126" s="72"/>
      <c r="I126" s="71"/>
      <c r="L126" s="55" t="str">
        <f t="shared" ca="1" si="4"/>
        <v>NE</v>
      </c>
    </row>
    <row r="127" spans="1:12" ht="27" thickBot="1">
      <c r="A127" s="72"/>
      <c r="B127" s="74"/>
      <c r="C127" s="71"/>
      <c r="D127" s="71"/>
      <c r="E127" s="72"/>
      <c r="F127" s="70"/>
      <c r="G127" s="72" t="str">
        <f t="shared" ca="1" si="3"/>
        <v/>
      </c>
      <c r="H127" s="72"/>
      <c r="I127" s="71"/>
      <c r="L127" s="55" t="str">
        <f t="shared" ca="1" si="4"/>
        <v>NE</v>
      </c>
    </row>
    <row r="128" spans="1:12" ht="27" thickBot="1">
      <c r="A128" s="72"/>
      <c r="B128" s="74"/>
      <c r="C128" s="71"/>
      <c r="D128" s="71"/>
      <c r="E128" s="72"/>
      <c r="F128" s="70"/>
      <c r="G128" s="72" t="str">
        <f t="shared" ca="1" si="3"/>
        <v/>
      </c>
      <c r="H128" s="72"/>
      <c r="I128" s="71"/>
      <c r="L128" s="55" t="str">
        <f t="shared" ca="1" si="4"/>
        <v>NE</v>
      </c>
    </row>
    <row r="129" spans="1:12" ht="27" thickBot="1">
      <c r="A129" s="72"/>
      <c r="B129" s="74"/>
      <c r="C129" s="71"/>
      <c r="D129" s="71"/>
      <c r="E129" s="72"/>
      <c r="F129" s="70"/>
      <c r="G129" s="72" t="str">
        <f t="shared" ca="1" si="3"/>
        <v/>
      </c>
      <c r="H129" s="72"/>
      <c r="I129" s="71"/>
      <c r="L129" s="55" t="str">
        <f t="shared" ca="1" si="4"/>
        <v>NE</v>
      </c>
    </row>
    <row r="130" spans="1:12" ht="27" thickBot="1">
      <c r="A130" s="72"/>
      <c r="B130" s="74"/>
      <c r="C130" s="71"/>
      <c r="D130" s="71"/>
      <c r="E130" s="72"/>
      <c r="F130" s="70"/>
      <c r="G130" s="72" t="str">
        <f t="shared" ca="1" si="3"/>
        <v/>
      </c>
      <c r="H130" s="72"/>
      <c r="I130" s="71"/>
      <c r="L130" s="55" t="str">
        <f t="shared" ca="1" si="4"/>
        <v>NE</v>
      </c>
    </row>
    <row r="131" spans="1:12" ht="27" thickBot="1">
      <c r="A131" s="72"/>
      <c r="B131" s="74"/>
      <c r="C131" s="71"/>
      <c r="D131" s="71"/>
      <c r="E131" s="72"/>
      <c r="F131" s="70"/>
      <c r="G131" s="72" t="str">
        <f t="shared" ca="1" si="3"/>
        <v/>
      </c>
      <c r="H131" s="72"/>
      <c r="I131" s="71"/>
      <c r="L131" s="55" t="str">
        <f t="shared" ca="1" si="4"/>
        <v>NE</v>
      </c>
    </row>
    <row r="132" spans="1:12" ht="27" thickBot="1">
      <c r="A132" s="72"/>
      <c r="B132" s="74"/>
      <c r="C132" s="71"/>
      <c r="D132" s="71"/>
      <c r="E132" s="72"/>
      <c r="F132" s="70"/>
      <c r="G132" s="72" t="str">
        <f t="shared" ref="G132:G168" ca="1" si="5">IF(ISBLANK(F132),"",IF(F132&gt;=TODAY(), "Non Echue", "Echue"))</f>
        <v/>
      </c>
      <c r="H132" s="72"/>
      <c r="I132" s="71"/>
      <c r="L132" s="55" t="str">
        <f t="shared" ca="1" si="4"/>
        <v>NE</v>
      </c>
    </row>
    <row r="133" spans="1:12" ht="27" thickBot="1">
      <c r="A133" s="72"/>
      <c r="B133" s="74"/>
      <c r="C133" s="71"/>
      <c r="D133" s="71"/>
      <c r="E133" s="72"/>
      <c r="F133" s="70"/>
      <c r="G133" s="72" t="str">
        <f t="shared" ca="1" si="5"/>
        <v/>
      </c>
      <c r="H133" s="72"/>
      <c r="I133" s="71"/>
      <c r="L133" s="55" t="str">
        <f t="shared" ca="1" si="4"/>
        <v>NE</v>
      </c>
    </row>
    <row r="134" spans="1:12" ht="27" thickBot="1">
      <c r="A134" s="72"/>
      <c r="B134" s="74"/>
      <c r="C134" s="71"/>
      <c r="D134" s="71"/>
      <c r="E134" s="72"/>
      <c r="F134" s="70"/>
      <c r="G134" s="72" t="str">
        <f t="shared" ca="1" si="5"/>
        <v/>
      </c>
      <c r="H134" s="72"/>
      <c r="I134" s="71"/>
      <c r="L134" s="55" t="str">
        <f t="shared" ca="1" si="4"/>
        <v>NE</v>
      </c>
    </row>
    <row r="135" spans="1:12" ht="27" thickBot="1">
      <c r="A135" s="72"/>
      <c r="B135" s="74"/>
      <c r="C135" s="71"/>
      <c r="D135" s="71"/>
      <c r="E135" s="72"/>
      <c r="F135" s="70"/>
      <c r="G135" s="72" t="str">
        <f t="shared" ca="1" si="5"/>
        <v/>
      </c>
      <c r="H135" s="72"/>
      <c r="I135" s="71"/>
      <c r="L135" s="55" t="str">
        <f t="shared" ca="1" si="4"/>
        <v>NE</v>
      </c>
    </row>
    <row r="136" spans="1:12" ht="27" thickBot="1">
      <c r="A136" s="72"/>
      <c r="B136" s="74"/>
      <c r="C136" s="71"/>
      <c r="D136" s="71"/>
      <c r="E136" s="72"/>
      <c r="F136" s="70"/>
      <c r="G136" s="72" t="str">
        <f t="shared" ca="1" si="5"/>
        <v/>
      </c>
      <c r="H136" s="72"/>
      <c r="I136" s="71"/>
      <c r="L136" s="55" t="str">
        <f t="shared" ca="1" si="4"/>
        <v>NE</v>
      </c>
    </row>
    <row r="137" spans="1:12" ht="27" thickBot="1">
      <c r="A137" s="72"/>
      <c r="B137" s="74"/>
      <c r="C137" s="71"/>
      <c r="D137" s="71"/>
      <c r="E137" s="72"/>
      <c r="F137" s="70"/>
      <c r="G137" s="72" t="str">
        <f t="shared" ca="1" si="5"/>
        <v/>
      </c>
      <c r="H137" s="72"/>
      <c r="I137" s="71"/>
      <c r="L137" s="55" t="str">
        <f t="shared" ca="1" si="4"/>
        <v>NE</v>
      </c>
    </row>
    <row r="138" spans="1:12" ht="27" thickBot="1">
      <c r="A138" s="72"/>
      <c r="B138" s="74"/>
      <c r="C138" s="71"/>
      <c r="D138" s="71"/>
      <c r="E138" s="72"/>
      <c r="F138" s="70"/>
      <c r="G138" s="72" t="str">
        <f t="shared" ca="1" si="5"/>
        <v/>
      </c>
      <c r="H138" s="72"/>
      <c r="I138" s="71"/>
      <c r="L138" s="55" t="str">
        <f t="shared" ca="1" si="4"/>
        <v>NE</v>
      </c>
    </row>
    <row r="139" spans="1:12" ht="27" thickBot="1">
      <c r="A139" s="72"/>
      <c r="B139" s="74"/>
      <c r="C139" s="71"/>
      <c r="D139" s="71"/>
      <c r="E139" s="72"/>
      <c r="F139" s="70"/>
      <c r="G139" s="72" t="str">
        <f t="shared" ca="1" si="5"/>
        <v/>
      </c>
      <c r="H139" s="72"/>
      <c r="I139" s="71"/>
      <c r="L139" s="55" t="str">
        <f t="shared" ca="1" si="4"/>
        <v>NE</v>
      </c>
    </row>
    <row r="140" spans="1:12" ht="27" thickBot="1">
      <c r="A140" s="72"/>
      <c r="B140" s="74"/>
      <c r="C140" s="71"/>
      <c r="D140" s="71"/>
      <c r="E140" s="72"/>
      <c r="F140" s="70"/>
      <c r="G140" s="72" t="str">
        <f t="shared" ca="1" si="5"/>
        <v/>
      </c>
      <c r="H140" s="72"/>
      <c r="I140" s="71"/>
      <c r="L140" s="55" t="str">
        <f t="shared" ca="1" si="4"/>
        <v>NE</v>
      </c>
    </row>
    <row r="141" spans="1:12" ht="27" thickBot="1">
      <c r="A141" s="72"/>
      <c r="B141" s="74"/>
      <c r="C141" s="71"/>
      <c r="D141" s="71"/>
      <c r="E141" s="72"/>
      <c r="F141" s="70"/>
      <c r="G141" s="72" t="str">
        <f t="shared" ca="1" si="5"/>
        <v/>
      </c>
      <c r="H141" s="72"/>
      <c r="I141" s="71"/>
      <c r="L141" s="55" t="str">
        <f t="shared" ca="1" si="4"/>
        <v>NE</v>
      </c>
    </row>
    <row r="142" spans="1:12" ht="27" thickBot="1">
      <c r="A142" s="72"/>
      <c r="B142" s="74"/>
      <c r="C142" s="71"/>
      <c r="D142" s="71"/>
      <c r="E142" s="72"/>
      <c r="F142" s="70"/>
      <c r="G142" s="72" t="str">
        <f t="shared" ca="1" si="5"/>
        <v/>
      </c>
      <c r="H142" s="72"/>
      <c r="I142" s="71"/>
      <c r="L142" s="55" t="str">
        <f t="shared" ca="1" si="4"/>
        <v>NE</v>
      </c>
    </row>
    <row r="143" spans="1:12" ht="27" thickBot="1">
      <c r="A143" s="72"/>
      <c r="B143" s="74"/>
      <c r="C143" s="71"/>
      <c r="D143" s="71"/>
      <c r="E143" s="72"/>
      <c r="F143" s="70"/>
      <c r="G143" s="72" t="str">
        <f t="shared" ca="1" si="5"/>
        <v/>
      </c>
      <c r="H143" s="72"/>
      <c r="I143" s="71"/>
      <c r="L143" s="55" t="str">
        <f t="shared" ca="1" si="4"/>
        <v>NE</v>
      </c>
    </row>
    <row r="144" spans="1:12" ht="27" thickBot="1">
      <c r="A144" s="72"/>
      <c r="B144" s="74"/>
      <c r="C144" s="71"/>
      <c r="D144" s="71"/>
      <c r="E144" s="72"/>
      <c r="F144" s="70"/>
      <c r="G144" s="72" t="str">
        <f t="shared" ca="1" si="5"/>
        <v/>
      </c>
      <c r="H144" s="72"/>
      <c r="I144" s="71"/>
      <c r="L144" s="55" t="str">
        <f t="shared" ca="1" si="4"/>
        <v>NE</v>
      </c>
    </row>
    <row r="145" spans="1:12" ht="27" thickBot="1">
      <c r="A145" s="72"/>
      <c r="B145" s="74"/>
      <c r="C145" s="71"/>
      <c r="D145" s="71"/>
      <c r="E145" s="72"/>
      <c r="F145" s="70"/>
      <c r="G145" s="72" t="str">
        <f t="shared" ca="1" si="5"/>
        <v/>
      </c>
      <c r="H145" s="72"/>
      <c r="I145" s="71"/>
      <c r="L145" s="55" t="str">
        <f t="shared" ca="1" si="4"/>
        <v>NE</v>
      </c>
    </row>
    <row r="146" spans="1:12" ht="27" thickBot="1">
      <c r="A146" s="72"/>
      <c r="B146" s="74"/>
      <c r="C146" s="71"/>
      <c r="D146" s="71"/>
      <c r="E146" s="72"/>
      <c r="F146" s="70"/>
      <c r="G146" s="72" t="str">
        <f t="shared" ca="1" si="5"/>
        <v/>
      </c>
      <c r="H146" s="72"/>
      <c r="I146" s="71"/>
      <c r="L146" s="55" t="str">
        <f t="shared" ca="1" si="4"/>
        <v>NE</v>
      </c>
    </row>
    <row r="147" spans="1:12" ht="27" thickBot="1">
      <c r="A147" s="72"/>
      <c r="B147" s="74"/>
      <c r="C147" s="71"/>
      <c r="D147" s="71"/>
      <c r="E147" s="72"/>
      <c r="F147" s="70"/>
      <c r="G147" s="72" t="str">
        <f t="shared" ca="1" si="5"/>
        <v/>
      </c>
      <c r="H147" s="72"/>
      <c r="I147" s="71"/>
      <c r="L147" s="55" t="str">
        <f t="shared" ca="1" si="4"/>
        <v>NE</v>
      </c>
    </row>
    <row r="148" spans="1:12" ht="27" thickBot="1">
      <c r="A148" s="72"/>
      <c r="B148" s="74"/>
      <c r="C148" s="71"/>
      <c r="D148" s="71"/>
      <c r="E148" s="72"/>
      <c r="F148" s="70"/>
      <c r="G148" s="72" t="str">
        <f t="shared" ca="1" si="5"/>
        <v/>
      </c>
      <c r="H148" s="72"/>
      <c r="I148" s="71"/>
      <c r="L148" s="55" t="str">
        <f t="shared" ca="1" si="4"/>
        <v>NE</v>
      </c>
    </row>
    <row r="149" spans="1:12" ht="27" thickBot="1">
      <c r="A149" s="72"/>
      <c r="B149" s="74"/>
      <c r="C149" s="71"/>
      <c r="D149" s="71"/>
      <c r="E149" s="72"/>
      <c r="F149" s="70"/>
      <c r="G149" s="72" t="str">
        <f t="shared" ca="1" si="5"/>
        <v/>
      </c>
      <c r="H149" s="72"/>
      <c r="I149" s="71"/>
      <c r="L149" s="55" t="str">
        <f t="shared" ca="1" si="4"/>
        <v>NE</v>
      </c>
    </row>
    <row r="150" spans="1:12" ht="27" thickBot="1">
      <c r="A150" s="72"/>
      <c r="B150" s="74"/>
      <c r="C150" s="71"/>
      <c r="D150" s="71"/>
      <c r="E150" s="72"/>
      <c r="F150" s="70"/>
      <c r="G150" s="72" t="str">
        <f t="shared" ca="1" si="5"/>
        <v/>
      </c>
      <c r="H150" s="72"/>
      <c r="I150" s="71"/>
      <c r="L150" s="55" t="str">
        <f t="shared" ca="1" si="4"/>
        <v>NE</v>
      </c>
    </row>
    <row r="151" spans="1:12" ht="27" thickBot="1">
      <c r="A151" s="72"/>
      <c r="B151" s="74"/>
      <c r="C151" s="71"/>
      <c r="D151" s="71"/>
      <c r="E151" s="72"/>
      <c r="F151" s="70"/>
      <c r="G151" s="72" t="str">
        <f t="shared" ca="1" si="5"/>
        <v/>
      </c>
      <c r="H151" s="72"/>
      <c r="I151" s="71"/>
      <c r="L151" s="55" t="str">
        <f t="shared" ca="1" si="4"/>
        <v>NE</v>
      </c>
    </row>
    <row r="152" spans="1:12" ht="27" thickBot="1">
      <c r="A152" s="72"/>
      <c r="B152" s="74"/>
      <c r="C152" s="71"/>
      <c r="D152" s="71"/>
      <c r="E152" s="72"/>
      <c r="F152" s="70"/>
      <c r="G152" s="72" t="str">
        <f t="shared" ca="1" si="5"/>
        <v/>
      </c>
      <c r="H152" s="72"/>
      <c r="I152" s="71"/>
      <c r="L152" s="55" t="str">
        <f t="shared" ca="1" si="4"/>
        <v>NE</v>
      </c>
    </row>
    <row r="153" spans="1:12" ht="27" thickBot="1">
      <c r="A153" s="72"/>
      <c r="B153" s="74"/>
      <c r="C153" s="71"/>
      <c r="D153" s="71"/>
      <c r="E153" s="72"/>
      <c r="F153" s="70"/>
      <c r="G153" s="72" t="str">
        <f t="shared" ca="1" si="5"/>
        <v/>
      </c>
      <c r="H153" s="72"/>
      <c r="I153" s="71"/>
      <c r="L153" s="55" t="str">
        <f t="shared" ca="1" si="4"/>
        <v>NE</v>
      </c>
    </row>
    <row r="154" spans="1:12" ht="27" thickBot="1">
      <c r="A154" s="72"/>
      <c r="B154" s="74"/>
      <c r="C154" s="71"/>
      <c r="D154" s="71"/>
      <c r="E154" s="72"/>
      <c r="F154" s="70"/>
      <c r="G154" s="72" t="str">
        <f t="shared" ca="1" si="5"/>
        <v/>
      </c>
      <c r="H154" s="72"/>
      <c r="I154" s="71"/>
      <c r="L154" s="55" t="str">
        <f t="shared" ca="1" si="4"/>
        <v>NE</v>
      </c>
    </row>
    <row r="155" spans="1:12" ht="27" thickBot="1">
      <c r="A155" s="72"/>
      <c r="B155" s="74"/>
      <c r="C155" s="71"/>
      <c r="D155" s="71"/>
      <c r="E155" s="72"/>
      <c r="F155" s="70"/>
      <c r="G155" s="72" t="str">
        <f t="shared" ca="1" si="5"/>
        <v/>
      </c>
      <c r="H155" s="72"/>
      <c r="I155" s="71"/>
      <c r="L155" s="55" t="str">
        <f t="shared" ca="1" si="4"/>
        <v>NE</v>
      </c>
    </row>
    <row r="156" spans="1:12" ht="27" thickBot="1">
      <c r="A156" s="72"/>
      <c r="B156" s="74"/>
      <c r="C156" s="71"/>
      <c r="D156" s="71"/>
      <c r="E156" s="72"/>
      <c r="F156" s="70"/>
      <c r="G156" s="72" t="str">
        <f t="shared" ca="1" si="5"/>
        <v/>
      </c>
      <c r="H156" s="72"/>
      <c r="I156" s="71"/>
      <c r="L156" s="55" t="str">
        <f t="shared" ca="1" si="4"/>
        <v>NE</v>
      </c>
    </row>
    <row r="157" spans="1:12" ht="27" thickBot="1">
      <c r="A157" s="72"/>
      <c r="B157" s="74"/>
      <c r="C157" s="71"/>
      <c r="D157" s="71"/>
      <c r="E157" s="72"/>
      <c r="F157" s="70"/>
      <c r="G157" s="72" t="str">
        <f t="shared" ca="1" si="5"/>
        <v/>
      </c>
      <c r="H157" s="72"/>
      <c r="I157" s="71"/>
      <c r="L157" s="55" t="str">
        <f t="shared" ca="1" si="4"/>
        <v>NE</v>
      </c>
    </row>
    <row r="158" spans="1:12" ht="27" thickBot="1">
      <c r="A158" s="72"/>
      <c r="B158" s="74"/>
      <c r="C158" s="71"/>
      <c r="D158" s="71"/>
      <c r="E158" s="72"/>
      <c r="F158" s="70"/>
      <c r="G158" s="72" t="str">
        <f t="shared" ca="1" si="5"/>
        <v/>
      </c>
      <c r="H158" s="72"/>
      <c r="I158" s="71"/>
      <c r="L158" s="55" t="str">
        <f t="shared" ca="1" si="4"/>
        <v>NE</v>
      </c>
    </row>
    <row r="159" spans="1:12" ht="27" thickBot="1">
      <c r="A159" s="72"/>
      <c r="B159" s="74"/>
      <c r="C159" s="71"/>
      <c r="D159" s="71"/>
      <c r="E159" s="72"/>
      <c r="F159" s="70"/>
      <c r="G159" s="72" t="str">
        <f t="shared" ca="1" si="5"/>
        <v/>
      </c>
      <c r="H159" s="72"/>
      <c r="I159" s="71"/>
      <c r="L159" s="55" t="str">
        <f t="shared" ca="1" si="4"/>
        <v>NE</v>
      </c>
    </row>
    <row r="160" spans="1:12" ht="27" thickBot="1">
      <c r="A160" s="72"/>
      <c r="B160" s="74"/>
      <c r="C160" s="71"/>
      <c r="D160" s="71"/>
      <c r="E160" s="72"/>
      <c r="F160" s="70"/>
      <c r="G160" s="72" t="str">
        <f t="shared" ca="1" si="5"/>
        <v/>
      </c>
      <c r="H160" s="72"/>
      <c r="I160" s="71"/>
      <c r="L160" s="55" t="str">
        <f t="shared" ca="1" si="4"/>
        <v>NE</v>
      </c>
    </row>
    <row r="161" spans="1:12" ht="27" thickBot="1">
      <c r="A161" s="72"/>
      <c r="B161" s="74"/>
      <c r="C161" s="71"/>
      <c r="D161" s="71"/>
      <c r="E161" s="72"/>
      <c r="F161" s="70"/>
      <c r="G161" s="72" t="str">
        <f t="shared" ca="1" si="5"/>
        <v/>
      </c>
      <c r="H161" s="72"/>
      <c r="I161" s="71"/>
      <c r="L161" s="55" t="str">
        <f t="shared" ca="1" si="4"/>
        <v>NE</v>
      </c>
    </row>
    <row r="162" spans="1:12" ht="27" thickBot="1">
      <c r="A162" s="72"/>
      <c r="B162" s="74"/>
      <c r="C162" s="71"/>
      <c r="D162" s="71"/>
      <c r="E162" s="72"/>
      <c r="F162" s="70"/>
      <c r="G162" s="72" t="str">
        <f t="shared" ca="1" si="5"/>
        <v/>
      </c>
      <c r="H162" s="72"/>
      <c r="I162" s="71"/>
      <c r="L162" s="55" t="str">
        <f t="shared" ca="1" si="4"/>
        <v>NE</v>
      </c>
    </row>
    <row r="163" spans="1:12" ht="27" thickBot="1">
      <c r="A163" s="72"/>
      <c r="B163" s="74"/>
      <c r="C163" s="71"/>
      <c r="D163" s="71"/>
      <c r="E163" s="72"/>
      <c r="F163" s="70"/>
      <c r="G163" s="72" t="str">
        <f t="shared" ca="1" si="5"/>
        <v/>
      </c>
      <c r="H163" s="72"/>
      <c r="I163" s="71"/>
      <c r="L163" s="55" t="str">
        <f t="shared" ca="1" si="4"/>
        <v>NE</v>
      </c>
    </row>
    <row r="164" spans="1:12" ht="27" thickBot="1">
      <c r="A164" s="72"/>
      <c r="B164" s="74"/>
      <c r="C164" s="71"/>
      <c r="D164" s="71"/>
      <c r="E164" s="72"/>
      <c r="F164" s="70"/>
      <c r="G164" s="72" t="str">
        <f t="shared" ca="1" si="5"/>
        <v/>
      </c>
      <c r="H164" s="72"/>
      <c r="I164" s="71"/>
      <c r="L164" s="55" t="str">
        <f t="shared" ca="1" si="4"/>
        <v>NE</v>
      </c>
    </row>
    <row r="165" spans="1:12" ht="27" thickBot="1">
      <c r="A165" s="72"/>
      <c r="B165" s="74"/>
      <c r="C165" s="71"/>
      <c r="D165" s="71"/>
      <c r="E165" s="72"/>
      <c r="F165" s="70"/>
      <c r="G165" s="72" t="str">
        <f t="shared" ca="1" si="5"/>
        <v/>
      </c>
      <c r="H165" s="72"/>
      <c r="I165" s="71"/>
      <c r="L165" s="55" t="str">
        <f t="shared" ca="1" si="4"/>
        <v>NE</v>
      </c>
    </row>
    <row r="166" spans="1:12" ht="27" thickBot="1">
      <c r="A166" s="72"/>
      <c r="B166" s="74"/>
      <c r="C166" s="71"/>
      <c r="D166" s="71"/>
      <c r="E166" s="72"/>
      <c r="F166" s="70"/>
      <c r="G166" s="72" t="str">
        <f t="shared" ca="1" si="5"/>
        <v/>
      </c>
      <c r="H166" s="72"/>
      <c r="I166" s="71"/>
      <c r="L166" s="55" t="str">
        <f t="shared" ca="1" si="4"/>
        <v>NE</v>
      </c>
    </row>
    <row r="167" spans="1:12" ht="27" thickBot="1">
      <c r="A167" s="72"/>
      <c r="B167" s="74"/>
      <c r="C167" s="71"/>
      <c r="D167" s="71"/>
      <c r="E167" s="72"/>
      <c r="F167" s="70"/>
      <c r="G167" s="72" t="str">
        <f t="shared" ca="1" si="5"/>
        <v/>
      </c>
      <c r="H167" s="72"/>
      <c r="I167" s="71"/>
      <c r="L167" s="55" t="str">
        <f t="shared" ca="1" si="4"/>
        <v>NE</v>
      </c>
    </row>
    <row r="168" spans="1:12" ht="27" thickBot="1">
      <c r="A168" s="72"/>
      <c r="B168" s="74"/>
      <c r="C168" s="71"/>
      <c r="D168" s="71"/>
      <c r="E168" s="72"/>
      <c r="F168" s="70"/>
      <c r="G168" s="72" t="str">
        <f t="shared" ca="1" si="5"/>
        <v/>
      </c>
      <c r="H168" s="72"/>
      <c r="I168" s="71"/>
      <c r="L168" s="55" t="str">
        <f t="shared" ca="1" si="4"/>
        <v>NE</v>
      </c>
    </row>
    <row r="169" spans="1:12" ht="27" thickBot="1">
      <c r="A169" s="72"/>
      <c r="B169" s="74"/>
      <c r="C169" s="71"/>
      <c r="D169" s="71"/>
      <c r="E169" s="72"/>
      <c r="F169" s="70"/>
      <c r="G169" s="72" t="str">
        <f ca="1">IF(ISBLANK(F169),"",IF(F169&gt;=TODAY(), "Non Echue", "Echue"))</f>
        <v/>
      </c>
      <c r="H169" s="72"/>
      <c r="I169" s="71"/>
      <c r="L169" s="55" t="str">
        <f t="shared" ca="1" si="4"/>
        <v>NE</v>
      </c>
    </row>
    <row r="170" spans="1:12" ht="27" thickBot="1">
      <c r="A170" s="72"/>
      <c r="B170" s="74"/>
      <c r="C170" s="71"/>
      <c r="D170" s="71"/>
      <c r="E170" s="72"/>
      <c r="F170" s="70"/>
      <c r="G170" s="72" t="str">
        <f ca="1">IF(ISBLANK(F170),"",IF(F170&gt;=TODAY(), "Non Echue", "Echue"))</f>
        <v/>
      </c>
      <c r="H170" s="72"/>
      <c r="I170" s="71"/>
      <c r="L170" s="55" t="str">
        <f t="shared" ca="1" si="4"/>
        <v>NE</v>
      </c>
    </row>
    <row r="171" spans="1:12" ht="27" thickBot="1">
      <c r="A171" s="72"/>
      <c r="B171" s="74"/>
      <c r="C171" s="71"/>
      <c r="D171" s="71"/>
      <c r="E171" s="72"/>
      <c r="F171" s="70"/>
      <c r="G171" s="72" t="str">
        <f ca="1">IF(ISBLANK(F171),"",IF(F171&gt;=TODAY(), "Non Echue", "Echue"))</f>
        <v/>
      </c>
      <c r="H171" s="72"/>
      <c r="I171" s="71"/>
      <c r="L171" s="55" t="str">
        <f t="shared" ca="1" si="4"/>
        <v>NE</v>
      </c>
    </row>
    <row r="172" spans="1:12" ht="27" thickBot="1">
      <c r="A172" s="72"/>
      <c r="B172" s="74"/>
      <c r="C172" s="71"/>
      <c r="D172" s="71"/>
      <c r="E172" s="72"/>
      <c r="F172" s="70"/>
      <c r="G172" s="72" t="str">
        <f ca="1">IF(ISBLANK(F172),"",IF(F172&gt;=TODAY(), "Non Echue", "Echue"))</f>
        <v/>
      </c>
      <c r="H172" s="72"/>
      <c r="I172" s="71"/>
      <c r="L172" s="55" t="str">
        <f t="shared" ca="1" si="4"/>
        <v>NE</v>
      </c>
    </row>
    <row r="173" spans="1:12" ht="27" thickBot="1">
      <c r="A173" s="72"/>
      <c r="B173" s="74"/>
      <c r="C173" s="71"/>
      <c r="D173" s="71"/>
      <c r="E173" s="72"/>
      <c r="F173" s="70"/>
      <c r="G173" s="72" t="str">
        <f ca="1">IF(ISBLANK(F173),"",IF(F173&gt;=TODAY(), "Non Echue", "Echue"))</f>
        <v/>
      </c>
      <c r="H173" s="72"/>
      <c r="I173" s="71"/>
      <c r="L173" s="55" t="str">
        <f t="shared" ca="1" si="4"/>
        <v>NE</v>
      </c>
    </row>
    <row r="174" spans="1:12" ht="27" thickBot="1">
      <c r="A174" s="72"/>
      <c r="B174" s="74"/>
      <c r="C174" s="71"/>
      <c r="D174" s="71"/>
      <c r="E174" s="72"/>
      <c r="F174" s="70"/>
      <c r="G174" s="72" t="str">
        <f t="shared" ref="G174:G237" ca="1" si="6">IF(ISBLANK(F174),"",IF(F174&gt;=TODAY(), "Non Echue", "Echue"))</f>
        <v/>
      </c>
      <c r="H174" s="72"/>
      <c r="I174" s="71"/>
      <c r="L174" s="55" t="str">
        <f t="shared" ref="L174:L237" ca="1" si="7" xml:space="preserve"> IF(G174 = "Echue",IF(H174 = "Appliqué","EAP","NAP"),"NE")</f>
        <v>NE</v>
      </c>
    </row>
    <row r="175" spans="1:12" ht="27" thickBot="1">
      <c r="A175" s="72"/>
      <c r="B175" s="74"/>
      <c r="C175" s="71"/>
      <c r="D175" s="71"/>
      <c r="E175" s="72"/>
      <c r="F175" s="70"/>
      <c r="G175" s="72" t="str">
        <f t="shared" ca="1" si="6"/>
        <v/>
      </c>
      <c r="H175" s="72"/>
      <c r="I175" s="71"/>
      <c r="L175" s="55" t="str">
        <f t="shared" ca="1" si="7"/>
        <v>NE</v>
      </c>
    </row>
    <row r="176" spans="1:12" ht="27" thickBot="1">
      <c r="A176" s="72"/>
      <c r="B176" s="74"/>
      <c r="C176" s="71"/>
      <c r="D176" s="71"/>
      <c r="E176" s="72"/>
      <c r="F176" s="70"/>
      <c r="G176" s="72" t="str">
        <f t="shared" ca="1" si="6"/>
        <v/>
      </c>
      <c r="H176" s="72"/>
      <c r="I176" s="71"/>
      <c r="L176" s="55" t="str">
        <f t="shared" ca="1" si="7"/>
        <v>NE</v>
      </c>
    </row>
    <row r="177" spans="1:12" ht="27" thickBot="1">
      <c r="A177" s="72"/>
      <c r="B177" s="74"/>
      <c r="C177" s="71"/>
      <c r="D177" s="71"/>
      <c r="E177" s="72"/>
      <c r="F177" s="70"/>
      <c r="G177" s="72" t="str">
        <f t="shared" ca="1" si="6"/>
        <v/>
      </c>
      <c r="H177" s="72"/>
      <c r="I177" s="71"/>
      <c r="L177" s="55" t="str">
        <f t="shared" ca="1" si="7"/>
        <v>NE</v>
      </c>
    </row>
    <row r="178" spans="1:12" ht="27" thickBot="1">
      <c r="A178" s="72"/>
      <c r="B178" s="74"/>
      <c r="C178" s="71"/>
      <c r="D178" s="71"/>
      <c r="E178" s="72"/>
      <c r="F178" s="70"/>
      <c r="G178" s="72" t="str">
        <f t="shared" ca="1" si="6"/>
        <v/>
      </c>
      <c r="H178" s="72"/>
      <c r="I178" s="71"/>
      <c r="L178" s="55" t="str">
        <f t="shared" ca="1" si="7"/>
        <v>NE</v>
      </c>
    </row>
    <row r="179" spans="1:12" ht="27" thickBot="1">
      <c r="A179" s="72"/>
      <c r="B179" s="74"/>
      <c r="C179" s="71"/>
      <c r="D179" s="71"/>
      <c r="E179" s="72"/>
      <c r="F179" s="70"/>
      <c r="G179" s="72" t="str">
        <f t="shared" ca="1" si="6"/>
        <v/>
      </c>
      <c r="H179" s="72"/>
      <c r="I179" s="71"/>
      <c r="L179" s="55" t="str">
        <f t="shared" ca="1" si="7"/>
        <v>NE</v>
      </c>
    </row>
    <row r="180" spans="1:12" ht="27" thickBot="1">
      <c r="A180" s="72"/>
      <c r="B180" s="74"/>
      <c r="C180" s="71"/>
      <c r="D180" s="71"/>
      <c r="E180" s="72"/>
      <c r="F180" s="70"/>
      <c r="G180" s="72" t="str">
        <f t="shared" ca="1" si="6"/>
        <v/>
      </c>
      <c r="H180" s="72"/>
      <c r="I180" s="71"/>
      <c r="L180" s="55" t="str">
        <f t="shared" ca="1" si="7"/>
        <v>NE</v>
      </c>
    </row>
    <row r="181" spans="1:12" ht="27" thickBot="1">
      <c r="A181" s="72"/>
      <c r="B181" s="74"/>
      <c r="C181" s="71"/>
      <c r="D181" s="71"/>
      <c r="E181" s="72"/>
      <c r="F181" s="70"/>
      <c r="G181" s="72" t="str">
        <f t="shared" ca="1" si="6"/>
        <v/>
      </c>
      <c r="H181" s="72"/>
      <c r="I181" s="71"/>
      <c r="L181" s="55" t="str">
        <f t="shared" ca="1" si="7"/>
        <v>NE</v>
      </c>
    </row>
    <row r="182" spans="1:12" ht="27" thickBot="1">
      <c r="A182" s="72"/>
      <c r="B182" s="74"/>
      <c r="C182" s="71"/>
      <c r="D182" s="71"/>
      <c r="E182" s="72"/>
      <c r="F182" s="70"/>
      <c r="G182" s="72" t="str">
        <f t="shared" ca="1" si="6"/>
        <v/>
      </c>
      <c r="H182" s="72"/>
      <c r="I182" s="71"/>
      <c r="L182" s="55" t="str">
        <f t="shared" ca="1" si="7"/>
        <v>NE</v>
      </c>
    </row>
    <row r="183" spans="1:12" ht="27" thickBot="1">
      <c r="A183" s="72"/>
      <c r="B183" s="74"/>
      <c r="C183" s="71"/>
      <c r="D183" s="71"/>
      <c r="E183" s="72"/>
      <c r="F183" s="70"/>
      <c r="G183" s="72" t="str">
        <f t="shared" ca="1" si="6"/>
        <v/>
      </c>
      <c r="H183" s="72"/>
      <c r="I183" s="71"/>
      <c r="L183" s="55" t="str">
        <f t="shared" ca="1" si="7"/>
        <v>NE</v>
      </c>
    </row>
    <row r="184" spans="1:12" ht="27" thickBot="1">
      <c r="A184" s="72"/>
      <c r="B184" s="74"/>
      <c r="C184" s="71"/>
      <c r="D184" s="71"/>
      <c r="E184" s="72"/>
      <c r="F184" s="70"/>
      <c r="G184" s="72" t="str">
        <f t="shared" ca="1" si="6"/>
        <v/>
      </c>
      <c r="H184" s="72"/>
      <c r="I184" s="71"/>
      <c r="L184" s="55" t="str">
        <f t="shared" ca="1" si="7"/>
        <v>NE</v>
      </c>
    </row>
    <row r="185" spans="1:12" ht="27" thickBot="1">
      <c r="A185" s="72"/>
      <c r="B185" s="74"/>
      <c r="C185" s="71"/>
      <c r="D185" s="71"/>
      <c r="E185" s="72"/>
      <c r="F185" s="70"/>
      <c r="G185" s="72" t="str">
        <f t="shared" ca="1" si="6"/>
        <v/>
      </c>
      <c r="H185" s="72"/>
      <c r="I185" s="71"/>
      <c r="L185" s="55" t="str">
        <f t="shared" ca="1" si="7"/>
        <v>NE</v>
      </c>
    </row>
    <row r="186" spans="1:12" ht="27" thickBot="1">
      <c r="A186" s="72"/>
      <c r="B186" s="74"/>
      <c r="C186" s="71"/>
      <c r="D186" s="71"/>
      <c r="E186" s="72"/>
      <c r="F186" s="70"/>
      <c r="G186" s="72" t="str">
        <f t="shared" ca="1" si="6"/>
        <v/>
      </c>
      <c r="H186" s="72"/>
      <c r="I186" s="71"/>
      <c r="L186" s="55" t="str">
        <f t="shared" ca="1" si="7"/>
        <v>NE</v>
      </c>
    </row>
    <row r="187" spans="1:12" ht="27" thickBot="1">
      <c r="A187" s="72"/>
      <c r="B187" s="74"/>
      <c r="C187" s="71"/>
      <c r="D187" s="71"/>
      <c r="E187" s="72"/>
      <c r="F187" s="70"/>
      <c r="G187" s="72" t="str">
        <f t="shared" ca="1" si="6"/>
        <v/>
      </c>
      <c r="H187" s="72"/>
      <c r="I187" s="71"/>
      <c r="L187" s="55" t="str">
        <f t="shared" ca="1" si="7"/>
        <v>NE</v>
      </c>
    </row>
    <row r="188" spans="1:12" ht="27" thickBot="1">
      <c r="A188" s="72"/>
      <c r="B188" s="74"/>
      <c r="C188" s="71"/>
      <c r="D188" s="71"/>
      <c r="E188" s="72"/>
      <c r="F188" s="70"/>
      <c r="G188" s="72" t="str">
        <f t="shared" ca="1" si="6"/>
        <v/>
      </c>
      <c r="H188" s="72"/>
      <c r="I188" s="71"/>
      <c r="L188" s="55" t="str">
        <f t="shared" ca="1" si="7"/>
        <v>NE</v>
      </c>
    </row>
    <row r="189" spans="1:12" ht="27" thickBot="1">
      <c r="A189" s="72"/>
      <c r="B189" s="74"/>
      <c r="C189" s="71"/>
      <c r="D189" s="71"/>
      <c r="E189" s="72"/>
      <c r="F189" s="70"/>
      <c r="G189" s="72" t="str">
        <f t="shared" ca="1" si="6"/>
        <v/>
      </c>
      <c r="H189" s="72"/>
      <c r="I189" s="71"/>
      <c r="L189" s="55" t="str">
        <f t="shared" ca="1" si="7"/>
        <v>NE</v>
      </c>
    </row>
    <row r="190" spans="1:12" ht="27" thickBot="1">
      <c r="A190" s="72"/>
      <c r="B190" s="74"/>
      <c r="C190" s="71"/>
      <c r="D190" s="71"/>
      <c r="E190" s="72"/>
      <c r="F190" s="70"/>
      <c r="G190" s="72" t="str">
        <f t="shared" ca="1" si="6"/>
        <v/>
      </c>
      <c r="H190" s="72"/>
      <c r="I190" s="71"/>
      <c r="L190" s="55" t="str">
        <f t="shared" ca="1" si="7"/>
        <v>NE</v>
      </c>
    </row>
    <row r="191" spans="1:12" ht="27" thickBot="1">
      <c r="A191" s="72"/>
      <c r="B191" s="74"/>
      <c r="C191" s="71"/>
      <c r="D191" s="71"/>
      <c r="E191" s="72"/>
      <c r="F191" s="70"/>
      <c r="G191" s="72" t="str">
        <f t="shared" ca="1" si="6"/>
        <v/>
      </c>
      <c r="H191" s="72"/>
      <c r="I191" s="71"/>
      <c r="L191" s="55" t="str">
        <f t="shared" ca="1" si="7"/>
        <v>NE</v>
      </c>
    </row>
    <row r="192" spans="1:12" ht="27" thickBot="1">
      <c r="A192" s="72"/>
      <c r="B192" s="74"/>
      <c r="C192" s="71"/>
      <c r="D192" s="71"/>
      <c r="E192" s="72"/>
      <c r="F192" s="70"/>
      <c r="G192" s="72" t="str">
        <f t="shared" ca="1" si="6"/>
        <v/>
      </c>
      <c r="H192" s="72"/>
      <c r="I192" s="71"/>
      <c r="L192" s="55" t="str">
        <f t="shared" ca="1" si="7"/>
        <v>NE</v>
      </c>
    </row>
    <row r="193" spans="1:12" ht="27" thickBot="1">
      <c r="A193" s="72"/>
      <c r="B193" s="74"/>
      <c r="C193" s="71"/>
      <c r="D193" s="71"/>
      <c r="E193" s="72"/>
      <c r="F193" s="70"/>
      <c r="G193" s="72" t="str">
        <f t="shared" ca="1" si="6"/>
        <v/>
      </c>
      <c r="H193" s="72"/>
      <c r="I193" s="71"/>
      <c r="L193" s="55" t="str">
        <f t="shared" ca="1" si="7"/>
        <v>NE</v>
      </c>
    </row>
    <row r="194" spans="1:12" ht="27" thickBot="1">
      <c r="A194" s="72"/>
      <c r="B194" s="74"/>
      <c r="C194" s="71"/>
      <c r="D194" s="71"/>
      <c r="E194" s="72"/>
      <c r="F194" s="70"/>
      <c r="G194" s="72" t="str">
        <f t="shared" ca="1" si="6"/>
        <v/>
      </c>
      <c r="H194" s="72"/>
      <c r="I194" s="71"/>
      <c r="L194" s="55" t="str">
        <f t="shared" ca="1" si="7"/>
        <v>NE</v>
      </c>
    </row>
    <row r="195" spans="1:12" ht="27" thickBot="1">
      <c r="A195" s="72"/>
      <c r="B195" s="74"/>
      <c r="C195" s="71"/>
      <c r="D195" s="71"/>
      <c r="E195" s="72"/>
      <c r="F195" s="70"/>
      <c r="G195" s="72" t="str">
        <f t="shared" ca="1" si="6"/>
        <v/>
      </c>
      <c r="H195" s="72"/>
      <c r="I195" s="71"/>
      <c r="L195" s="55" t="str">
        <f t="shared" ca="1" si="7"/>
        <v>NE</v>
      </c>
    </row>
    <row r="196" spans="1:12" ht="27" thickBot="1">
      <c r="A196" s="72"/>
      <c r="B196" s="74"/>
      <c r="C196" s="71"/>
      <c r="D196" s="71"/>
      <c r="E196" s="72"/>
      <c r="F196" s="70"/>
      <c r="G196" s="72" t="str">
        <f t="shared" ca="1" si="6"/>
        <v/>
      </c>
      <c r="H196" s="72"/>
      <c r="I196" s="71"/>
      <c r="L196" s="55" t="str">
        <f t="shared" ca="1" si="7"/>
        <v>NE</v>
      </c>
    </row>
    <row r="197" spans="1:12" ht="27" thickBot="1">
      <c r="A197" s="72"/>
      <c r="B197" s="74"/>
      <c r="C197" s="71"/>
      <c r="D197" s="71"/>
      <c r="E197" s="72"/>
      <c r="F197" s="70"/>
      <c r="G197" s="72" t="str">
        <f t="shared" ca="1" si="6"/>
        <v/>
      </c>
      <c r="H197" s="72"/>
      <c r="I197" s="71"/>
      <c r="L197" s="55" t="str">
        <f t="shared" ca="1" si="7"/>
        <v>NE</v>
      </c>
    </row>
    <row r="198" spans="1:12" ht="27" thickBot="1">
      <c r="A198" s="72"/>
      <c r="B198" s="74"/>
      <c r="C198" s="71"/>
      <c r="D198" s="71"/>
      <c r="E198" s="72"/>
      <c r="F198" s="70"/>
      <c r="G198" s="72" t="str">
        <f t="shared" ca="1" si="6"/>
        <v/>
      </c>
      <c r="H198" s="72"/>
      <c r="I198" s="71"/>
      <c r="L198" s="55" t="str">
        <f t="shared" ca="1" si="7"/>
        <v>NE</v>
      </c>
    </row>
    <row r="199" spans="1:12" ht="27" thickBot="1">
      <c r="A199" s="72"/>
      <c r="B199" s="74"/>
      <c r="C199" s="71"/>
      <c r="D199" s="71"/>
      <c r="E199" s="72"/>
      <c r="F199" s="70"/>
      <c r="G199" s="72" t="str">
        <f t="shared" ca="1" si="6"/>
        <v/>
      </c>
      <c r="H199" s="72"/>
      <c r="I199" s="71"/>
      <c r="L199" s="55" t="str">
        <f t="shared" ca="1" si="7"/>
        <v>NE</v>
      </c>
    </row>
    <row r="200" spans="1:12" ht="27" thickBot="1">
      <c r="A200" s="72"/>
      <c r="B200" s="74"/>
      <c r="C200" s="71"/>
      <c r="D200" s="71"/>
      <c r="E200" s="72"/>
      <c r="F200" s="70"/>
      <c r="G200" s="72" t="str">
        <f t="shared" ca="1" si="6"/>
        <v/>
      </c>
      <c r="H200" s="72"/>
      <c r="I200" s="71"/>
      <c r="L200" s="55" t="str">
        <f t="shared" ca="1" si="7"/>
        <v>NE</v>
      </c>
    </row>
    <row r="201" spans="1:12" ht="27" thickBot="1">
      <c r="A201" s="72"/>
      <c r="B201" s="74"/>
      <c r="C201" s="71"/>
      <c r="D201" s="71"/>
      <c r="E201" s="72"/>
      <c r="F201" s="70"/>
      <c r="G201" s="72" t="str">
        <f t="shared" ca="1" si="6"/>
        <v/>
      </c>
      <c r="H201" s="72"/>
      <c r="I201" s="71"/>
      <c r="L201" s="55" t="str">
        <f t="shared" ca="1" si="7"/>
        <v>NE</v>
      </c>
    </row>
    <row r="202" spans="1:12" ht="27" thickBot="1">
      <c r="A202" s="72"/>
      <c r="B202" s="74"/>
      <c r="C202" s="71"/>
      <c r="D202" s="71"/>
      <c r="E202" s="72"/>
      <c r="F202" s="70"/>
      <c r="G202" s="72" t="str">
        <f t="shared" ca="1" si="6"/>
        <v/>
      </c>
      <c r="H202" s="72"/>
      <c r="I202" s="71"/>
      <c r="L202" s="55" t="str">
        <f t="shared" ca="1" si="7"/>
        <v>NE</v>
      </c>
    </row>
    <row r="203" spans="1:12" ht="27" thickBot="1">
      <c r="A203" s="72"/>
      <c r="B203" s="74"/>
      <c r="C203" s="71"/>
      <c r="D203" s="71"/>
      <c r="E203" s="72"/>
      <c r="F203" s="70"/>
      <c r="G203" s="72" t="str">
        <f t="shared" ca="1" si="6"/>
        <v/>
      </c>
      <c r="H203" s="72"/>
      <c r="I203" s="71"/>
      <c r="L203" s="55" t="str">
        <f t="shared" ca="1" si="7"/>
        <v>NE</v>
      </c>
    </row>
    <row r="204" spans="1:12" ht="27" thickBot="1">
      <c r="A204" s="72"/>
      <c r="B204" s="74"/>
      <c r="C204" s="71"/>
      <c r="D204" s="71"/>
      <c r="E204" s="72"/>
      <c r="F204" s="70"/>
      <c r="G204" s="72" t="str">
        <f t="shared" ca="1" si="6"/>
        <v/>
      </c>
      <c r="H204" s="72"/>
      <c r="I204" s="71"/>
      <c r="L204" s="55" t="str">
        <f t="shared" ca="1" si="7"/>
        <v>NE</v>
      </c>
    </row>
    <row r="205" spans="1:12" ht="27" thickBot="1">
      <c r="A205" s="72"/>
      <c r="B205" s="74"/>
      <c r="C205" s="71"/>
      <c r="D205" s="71"/>
      <c r="E205" s="72"/>
      <c r="F205" s="70"/>
      <c r="G205" s="72" t="str">
        <f t="shared" ca="1" si="6"/>
        <v/>
      </c>
      <c r="H205" s="72"/>
      <c r="I205" s="71"/>
      <c r="L205" s="55" t="str">
        <f t="shared" ca="1" si="7"/>
        <v>NE</v>
      </c>
    </row>
    <row r="206" spans="1:12" ht="27" thickBot="1">
      <c r="A206" s="72"/>
      <c r="B206" s="74"/>
      <c r="C206" s="71"/>
      <c r="D206" s="71"/>
      <c r="E206" s="72"/>
      <c r="F206" s="70"/>
      <c r="G206" s="72" t="str">
        <f t="shared" ca="1" si="6"/>
        <v/>
      </c>
      <c r="H206" s="72"/>
      <c r="I206" s="71"/>
      <c r="L206" s="55" t="str">
        <f t="shared" ca="1" si="7"/>
        <v>NE</v>
      </c>
    </row>
    <row r="207" spans="1:12" ht="27" thickBot="1">
      <c r="A207" s="72"/>
      <c r="B207" s="74"/>
      <c r="C207" s="71"/>
      <c r="D207" s="71"/>
      <c r="E207" s="72"/>
      <c r="F207" s="70"/>
      <c r="G207" s="72" t="str">
        <f t="shared" ca="1" si="6"/>
        <v/>
      </c>
      <c r="H207" s="72"/>
      <c r="I207" s="71"/>
      <c r="L207" s="55" t="str">
        <f t="shared" ca="1" si="7"/>
        <v>NE</v>
      </c>
    </row>
    <row r="208" spans="1:12" ht="27" thickBot="1">
      <c r="A208" s="72"/>
      <c r="B208" s="74"/>
      <c r="C208" s="71"/>
      <c r="D208" s="71"/>
      <c r="E208" s="72"/>
      <c r="F208" s="70"/>
      <c r="G208" s="72" t="str">
        <f t="shared" ca="1" si="6"/>
        <v/>
      </c>
      <c r="H208" s="72"/>
      <c r="I208" s="71"/>
      <c r="L208" s="55" t="str">
        <f t="shared" ca="1" si="7"/>
        <v>NE</v>
      </c>
    </row>
    <row r="209" spans="1:12" ht="27" thickBot="1">
      <c r="A209" s="72"/>
      <c r="B209" s="74"/>
      <c r="C209" s="71"/>
      <c r="D209" s="71"/>
      <c r="E209" s="72"/>
      <c r="F209" s="70"/>
      <c r="G209" s="72" t="str">
        <f t="shared" ca="1" si="6"/>
        <v/>
      </c>
      <c r="H209" s="72"/>
      <c r="I209" s="71"/>
      <c r="L209" s="55" t="str">
        <f t="shared" ca="1" si="7"/>
        <v>NE</v>
      </c>
    </row>
    <row r="210" spans="1:12" ht="27" thickBot="1">
      <c r="A210" s="72"/>
      <c r="B210" s="74"/>
      <c r="C210" s="71"/>
      <c r="D210" s="71"/>
      <c r="E210" s="72"/>
      <c r="F210" s="70"/>
      <c r="G210" s="72" t="str">
        <f t="shared" ca="1" si="6"/>
        <v/>
      </c>
      <c r="H210" s="72"/>
      <c r="I210" s="71"/>
      <c r="L210" s="55" t="str">
        <f t="shared" ca="1" si="7"/>
        <v>NE</v>
      </c>
    </row>
    <row r="211" spans="1:12" ht="27" thickBot="1">
      <c r="A211" s="72"/>
      <c r="B211" s="74"/>
      <c r="C211" s="71"/>
      <c r="D211" s="71"/>
      <c r="E211" s="72"/>
      <c r="F211" s="70"/>
      <c r="G211" s="72" t="str">
        <f t="shared" ca="1" si="6"/>
        <v/>
      </c>
      <c r="H211" s="72"/>
      <c r="I211" s="71"/>
      <c r="L211" s="55" t="str">
        <f t="shared" ca="1" si="7"/>
        <v>NE</v>
      </c>
    </row>
    <row r="212" spans="1:12" ht="27" thickBot="1">
      <c r="A212" s="72"/>
      <c r="B212" s="74"/>
      <c r="C212" s="71"/>
      <c r="D212" s="71"/>
      <c r="E212" s="72"/>
      <c r="F212" s="70"/>
      <c r="G212" s="72" t="str">
        <f t="shared" ca="1" si="6"/>
        <v/>
      </c>
      <c r="H212" s="72"/>
      <c r="I212" s="71"/>
      <c r="L212" s="55" t="str">
        <f t="shared" ca="1" si="7"/>
        <v>NE</v>
      </c>
    </row>
    <row r="213" spans="1:12" ht="27" thickBot="1">
      <c r="A213" s="72"/>
      <c r="B213" s="74"/>
      <c r="C213" s="71"/>
      <c r="D213" s="71"/>
      <c r="E213" s="72"/>
      <c r="F213" s="70"/>
      <c r="G213" s="72" t="str">
        <f t="shared" ca="1" si="6"/>
        <v/>
      </c>
      <c r="H213" s="72"/>
      <c r="I213" s="71"/>
      <c r="L213" s="55" t="str">
        <f t="shared" ca="1" si="7"/>
        <v>NE</v>
      </c>
    </row>
    <row r="214" spans="1:12" ht="27" thickBot="1">
      <c r="A214" s="72"/>
      <c r="B214" s="74"/>
      <c r="C214" s="71"/>
      <c r="D214" s="71"/>
      <c r="E214" s="72"/>
      <c r="F214" s="70"/>
      <c r="G214" s="72" t="str">
        <f t="shared" ca="1" si="6"/>
        <v/>
      </c>
      <c r="H214" s="72"/>
      <c r="I214" s="71"/>
      <c r="L214" s="55" t="str">
        <f t="shared" ca="1" si="7"/>
        <v>NE</v>
      </c>
    </row>
    <row r="215" spans="1:12" ht="27" thickBot="1">
      <c r="A215" s="72"/>
      <c r="B215" s="74"/>
      <c r="C215" s="71"/>
      <c r="D215" s="71"/>
      <c r="E215" s="72"/>
      <c r="F215" s="70"/>
      <c r="G215" s="72" t="str">
        <f t="shared" ca="1" si="6"/>
        <v/>
      </c>
      <c r="H215" s="72"/>
      <c r="I215" s="71"/>
      <c r="L215" s="55" t="str">
        <f t="shared" ca="1" si="7"/>
        <v>NE</v>
      </c>
    </row>
    <row r="216" spans="1:12" ht="27" thickBot="1">
      <c r="A216" s="72"/>
      <c r="B216" s="74"/>
      <c r="C216" s="71"/>
      <c r="D216" s="71"/>
      <c r="E216" s="72"/>
      <c r="F216" s="70"/>
      <c r="G216" s="72" t="str">
        <f t="shared" ca="1" si="6"/>
        <v/>
      </c>
      <c r="H216" s="72"/>
      <c r="I216" s="71"/>
      <c r="L216" s="55" t="str">
        <f t="shared" ca="1" si="7"/>
        <v>NE</v>
      </c>
    </row>
    <row r="217" spans="1:12" ht="27" thickBot="1">
      <c r="A217" s="72"/>
      <c r="B217" s="74"/>
      <c r="C217" s="71"/>
      <c r="D217" s="71"/>
      <c r="E217" s="72"/>
      <c r="F217" s="70"/>
      <c r="G217" s="72" t="str">
        <f t="shared" ca="1" si="6"/>
        <v/>
      </c>
      <c r="H217" s="72"/>
      <c r="I217" s="71"/>
      <c r="L217" s="55" t="str">
        <f t="shared" ca="1" si="7"/>
        <v>NE</v>
      </c>
    </row>
    <row r="218" spans="1:12" ht="27" thickBot="1">
      <c r="A218" s="72"/>
      <c r="B218" s="74"/>
      <c r="C218" s="71"/>
      <c r="D218" s="71"/>
      <c r="E218" s="72"/>
      <c r="F218" s="70"/>
      <c r="G218" s="72" t="str">
        <f t="shared" ca="1" si="6"/>
        <v/>
      </c>
      <c r="H218" s="72"/>
      <c r="I218" s="71"/>
      <c r="L218" s="55" t="str">
        <f t="shared" ca="1" si="7"/>
        <v>NE</v>
      </c>
    </row>
    <row r="219" spans="1:12" ht="27" thickBot="1">
      <c r="A219" s="72"/>
      <c r="B219" s="74"/>
      <c r="C219" s="71"/>
      <c r="D219" s="71"/>
      <c r="E219" s="72"/>
      <c r="F219" s="70"/>
      <c r="G219" s="72" t="str">
        <f t="shared" ca="1" si="6"/>
        <v/>
      </c>
      <c r="H219" s="72"/>
      <c r="I219" s="71"/>
      <c r="L219" s="55" t="str">
        <f t="shared" ca="1" si="7"/>
        <v>NE</v>
      </c>
    </row>
    <row r="220" spans="1:12" ht="27" thickBot="1">
      <c r="A220" s="72"/>
      <c r="B220" s="74"/>
      <c r="C220" s="71"/>
      <c r="D220" s="71"/>
      <c r="E220" s="72"/>
      <c r="F220" s="70"/>
      <c r="G220" s="72" t="str">
        <f t="shared" ca="1" si="6"/>
        <v/>
      </c>
      <c r="H220" s="72"/>
      <c r="I220" s="71"/>
      <c r="L220" s="55" t="str">
        <f t="shared" ca="1" si="7"/>
        <v>NE</v>
      </c>
    </row>
    <row r="221" spans="1:12" ht="27" thickBot="1">
      <c r="A221" s="72"/>
      <c r="B221" s="74"/>
      <c r="C221" s="71"/>
      <c r="D221" s="71"/>
      <c r="E221" s="72"/>
      <c r="F221" s="70"/>
      <c r="G221" s="72" t="str">
        <f t="shared" ca="1" si="6"/>
        <v/>
      </c>
      <c r="H221" s="72"/>
      <c r="I221" s="71"/>
      <c r="L221" s="55" t="str">
        <f t="shared" ca="1" si="7"/>
        <v>NE</v>
      </c>
    </row>
    <row r="222" spans="1:12" ht="27" thickBot="1">
      <c r="A222" s="72"/>
      <c r="B222" s="74"/>
      <c r="C222" s="71"/>
      <c r="D222" s="71"/>
      <c r="E222" s="72"/>
      <c r="F222" s="70"/>
      <c r="G222" s="72" t="str">
        <f t="shared" ca="1" si="6"/>
        <v/>
      </c>
      <c r="H222" s="72"/>
      <c r="I222" s="71"/>
      <c r="L222" s="55" t="str">
        <f t="shared" ca="1" si="7"/>
        <v>NE</v>
      </c>
    </row>
    <row r="223" spans="1:12" ht="27" thickBot="1">
      <c r="A223" s="72"/>
      <c r="B223" s="74"/>
      <c r="C223" s="71"/>
      <c r="D223" s="71"/>
      <c r="E223" s="72"/>
      <c r="F223" s="70"/>
      <c r="G223" s="72" t="str">
        <f t="shared" ca="1" si="6"/>
        <v/>
      </c>
      <c r="H223" s="72"/>
      <c r="I223" s="71"/>
      <c r="L223" s="55" t="str">
        <f t="shared" ca="1" si="7"/>
        <v>NE</v>
      </c>
    </row>
    <row r="224" spans="1:12" ht="27" thickBot="1">
      <c r="A224" s="72"/>
      <c r="B224" s="74"/>
      <c r="C224" s="71"/>
      <c r="D224" s="71"/>
      <c r="E224" s="72"/>
      <c r="F224" s="70"/>
      <c r="G224" s="72" t="str">
        <f t="shared" ca="1" si="6"/>
        <v/>
      </c>
      <c r="H224" s="72"/>
      <c r="I224" s="71"/>
      <c r="L224" s="55" t="str">
        <f t="shared" ca="1" si="7"/>
        <v>NE</v>
      </c>
    </row>
    <row r="225" spans="1:12" ht="27" thickBot="1">
      <c r="A225" s="72"/>
      <c r="B225" s="74"/>
      <c r="C225" s="71"/>
      <c r="D225" s="71"/>
      <c r="E225" s="72"/>
      <c r="F225" s="70"/>
      <c r="G225" s="72" t="str">
        <f t="shared" ca="1" si="6"/>
        <v/>
      </c>
      <c r="H225" s="72"/>
      <c r="I225" s="71"/>
      <c r="L225" s="55" t="str">
        <f t="shared" ca="1" si="7"/>
        <v>NE</v>
      </c>
    </row>
    <row r="226" spans="1:12" ht="27" thickBot="1">
      <c r="A226" s="72"/>
      <c r="B226" s="74"/>
      <c r="C226" s="71"/>
      <c r="D226" s="71"/>
      <c r="E226" s="72"/>
      <c r="F226" s="70"/>
      <c r="G226" s="72" t="str">
        <f t="shared" ca="1" si="6"/>
        <v/>
      </c>
      <c r="H226" s="72"/>
      <c r="I226" s="71"/>
      <c r="L226" s="55" t="str">
        <f t="shared" ca="1" si="7"/>
        <v>NE</v>
      </c>
    </row>
    <row r="227" spans="1:12" ht="27" thickBot="1">
      <c r="A227" s="72"/>
      <c r="B227" s="74"/>
      <c r="C227" s="71"/>
      <c r="D227" s="71"/>
      <c r="E227" s="72"/>
      <c r="F227" s="70"/>
      <c r="G227" s="72" t="str">
        <f t="shared" ca="1" si="6"/>
        <v/>
      </c>
      <c r="H227" s="72"/>
      <c r="I227" s="71"/>
      <c r="L227" s="55" t="str">
        <f t="shared" ca="1" si="7"/>
        <v>NE</v>
      </c>
    </row>
    <row r="228" spans="1:12" ht="27" thickBot="1">
      <c r="A228" s="72"/>
      <c r="B228" s="74"/>
      <c r="C228" s="71"/>
      <c r="D228" s="71"/>
      <c r="E228" s="72"/>
      <c r="F228" s="70"/>
      <c r="G228" s="72" t="str">
        <f t="shared" ca="1" si="6"/>
        <v/>
      </c>
      <c r="H228" s="72"/>
      <c r="I228" s="71"/>
      <c r="L228" s="55" t="str">
        <f t="shared" ca="1" si="7"/>
        <v>NE</v>
      </c>
    </row>
    <row r="229" spans="1:12" ht="27" thickBot="1">
      <c r="A229" s="72"/>
      <c r="B229" s="74"/>
      <c r="C229" s="71"/>
      <c r="D229" s="71"/>
      <c r="E229" s="72"/>
      <c r="F229" s="70"/>
      <c r="G229" s="72" t="str">
        <f t="shared" ca="1" si="6"/>
        <v/>
      </c>
      <c r="H229" s="72"/>
      <c r="I229" s="71"/>
      <c r="L229" s="55" t="str">
        <f t="shared" ca="1" si="7"/>
        <v>NE</v>
      </c>
    </row>
    <row r="230" spans="1:12" ht="27" thickBot="1">
      <c r="A230" s="72"/>
      <c r="B230" s="74"/>
      <c r="C230" s="71"/>
      <c r="D230" s="71"/>
      <c r="E230" s="72"/>
      <c r="F230" s="70"/>
      <c r="G230" s="72" t="str">
        <f t="shared" ca="1" si="6"/>
        <v/>
      </c>
      <c r="H230" s="72"/>
      <c r="I230" s="71"/>
      <c r="L230" s="55" t="str">
        <f t="shared" ca="1" si="7"/>
        <v>NE</v>
      </c>
    </row>
    <row r="231" spans="1:12" ht="27" thickBot="1">
      <c r="A231" s="72"/>
      <c r="B231" s="74"/>
      <c r="C231" s="71"/>
      <c r="D231" s="71"/>
      <c r="E231" s="72"/>
      <c r="F231" s="70"/>
      <c r="G231" s="72" t="str">
        <f t="shared" ca="1" si="6"/>
        <v/>
      </c>
      <c r="H231" s="72"/>
      <c r="I231" s="71"/>
      <c r="L231" s="55" t="str">
        <f t="shared" ca="1" si="7"/>
        <v>NE</v>
      </c>
    </row>
    <row r="232" spans="1:12" ht="27" thickBot="1">
      <c r="A232" s="72"/>
      <c r="B232" s="74"/>
      <c r="C232" s="71"/>
      <c r="D232" s="71"/>
      <c r="E232" s="72"/>
      <c r="F232" s="70"/>
      <c r="G232" s="72" t="str">
        <f t="shared" ca="1" si="6"/>
        <v/>
      </c>
      <c r="H232" s="72"/>
      <c r="I232" s="71"/>
      <c r="L232" s="55" t="str">
        <f t="shared" ca="1" si="7"/>
        <v>NE</v>
      </c>
    </row>
    <row r="233" spans="1:12" ht="27" thickBot="1">
      <c r="A233" s="72"/>
      <c r="B233" s="74"/>
      <c r="C233" s="71"/>
      <c r="D233" s="71"/>
      <c r="E233" s="72"/>
      <c r="F233" s="70"/>
      <c r="G233" s="72" t="str">
        <f t="shared" ca="1" si="6"/>
        <v/>
      </c>
      <c r="H233" s="72"/>
      <c r="I233" s="71"/>
      <c r="L233" s="55" t="str">
        <f t="shared" ca="1" si="7"/>
        <v>NE</v>
      </c>
    </row>
    <row r="234" spans="1:12" ht="27" thickBot="1">
      <c r="A234" s="72"/>
      <c r="B234" s="74"/>
      <c r="C234" s="71"/>
      <c r="D234" s="71"/>
      <c r="E234" s="72"/>
      <c r="F234" s="70"/>
      <c r="G234" s="72" t="str">
        <f t="shared" ca="1" si="6"/>
        <v/>
      </c>
      <c r="H234" s="72"/>
      <c r="I234" s="71"/>
      <c r="L234" s="55" t="str">
        <f t="shared" ca="1" si="7"/>
        <v>NE</v>
      </c>
    </row>
    <row r="235" spans="1:12" ht="27" thickBot="1">
      <c r="A235" s="72"/>
      <c r="B235" s="74"/>
      <c r="C235" s="71"/>
      <c r="D235" s="71"/>
      <c r="E235" s="72"/>
      <c r="F235" s="70"/>
      <c r="G235" s="72" t="str">
        <f t="shared" ca="1" si="6"/>
        <v/>
      </c>
      <c r="H235" s="72"/>
      <c r="I235" s="71"/>
      <c r="L235" s="55" t="str">
        <f t="shared" ca="1" si="7"/>
        <v>NE</v>
      </c>
    </row>
    <row r="236" spans="1:12" ht="27" thickBot="1">
      <c r="A236" s="72"/>
      <c r="B236" s="74"/>
      <c r="C236" s="71"/>
      <c r="D236" s="71"/>
      <c r="E236" s="72"/>
      <c r="F236" s="70"/>
      <c r="G236" s="72" t="str">
        <f t="shared" ca="1" si="6"/>
        <v/>
      </c>
      <c r="H236" s="72"/>
      <c r="I236" s="71"/>
      <c r="L236" s="55" t="str">
        <f t="shared" ca="1" si="7"/>
        <v>NE</v>
      </c>
    </row>
    <row r="237" spans="1:12" ht="27" thickBot="1">
      <c r="A237" s="72"/>
      <c r="B237" s="74"/>
      <c r="C237" s="71"/>
      <c r="D237" s="71"/>
      <c r="E237" s="72"/>
      <c r="F237" s="70"/>
      <c r="G237" s="72" t="str">
        <f t="shared" ca="1" si="6"/>
        <v/>
      </c>
      <c r="H237" s="72"/>
      <c r="I237" s="71"/>
      <c r="L237" s="55" t="str">
        <f t="shared" ca="1" si="7"/>
        <v>NE</v>
      </c>
    </row>
    <row r="238" spans="1:12" ht="27" thickBot="1">
      <c r="A238" s="72"/>
      <c r="B238" s="74"/>
      <c r="C238" s="71"/>
      <c r="D238" s="71"/>
      <c r="E238" s="72"/>
      <c r="F238" s="70"/>
      <c r="G238" s="72" t="str">
        <f t="shared" ref="G238:G301" ca="1" si="8">IF(ISBLANK(F238),"",IF(F238&gt;=TODAY(), "Non Echue", "Echue"))</f>
        <v/>
      </c>
      <c r="H238" s="72"/>
      <c r="I238" s="71"/>
      <c r="L238" s="55" t="str">
        <f t="shared" ref="L238:L301" ca="1" si="9" xml:space="preserve"> IF(G238 = "Echue",IF(H238 = "Appliqué","EAP","NAP"),"NE")</f>
        <v>NE</v>
      </c>
    </row>
    <row r="239" spans="1:12" ht="27" thickBot="1">
      <c r="A239" s="72"/>
      <c r="B239" s="74"/>
      <c r="C239" s="71"/>
      <c r="D239" s="71"/>
      <c r="E239" s="72"/>
      <c r="F239" s="70"/>
      <c r="G239" s="72" t="str">
        <f t="shared" ca="1" si="8"/>
        <v/>
      </c>
      <c r="H239" s="72"/>
      <c r="I239" s="71"/>
      <c r="L239" s="55" t="str">
        <f t="shared" ca="1" si="9"/>
        <v>NE</v>
      </c>
    </row>
    <row r="240" spans="1:12" ht="27" thickBot="1">
      <c r="A240" s="72"/>
      <c r="B240" s="74"/>
      <c r="C240" s="71"/>
      <c r="D240" s="71"/>
      <c r="E240" s="72"/>
      <c r="F240" s="70"/>
      <c r="G240" s="72" t="str">
        <f t="shared" ca="1" si="8"/>
        <v/>
      </c>
      <c r="H240" s="72"/>
      <c r="I240" s="71"/>
      <c r="L240" s="55" t="str">
        <f t="shared" ca="1" si="9"/>
        <v>NE</v>
      </c>
    </row>
    <row r="241" spans="1:12" ht="27" thickBot="1">
      <c r="A241" s="72"/>
      <c r="B241" s="74"/>
      <c r="C241" s="71"/>
      <c r="D241" s="71"/>
      <c r="E241" s="72"/>
      <c r="F241" s="70"/>
      <c r="G241" s="72" t="str">
        <f t="shared" ca="1" si="8"/>
        <v/>
      </c>
      <c r="H241" s="72"/>
      <c r="I241" s="71"/>
      <c r="L241" s="55" t="str">
        <f t="shared" ca="1" si="9"/>
        <v>NE</v>
      </c>
    </row>
    <row r="242" spans="1:12" ht="27" thickBot="1">
      <c r="A242" s="72"/>
      <c r="B242" s="74"/>
      <c r="C242" s="71"/>
      <c r="D242" s="71"/>
      <c r="E242" s="72"/>
      <c r="F242" s="70"/>
      <c r="G242" s="72" t="str">
        <f t="shared" ca="1" si="8"/>
        <v/>
      </c>
      <c r="H242" s="72"/>
      <c r="I242" s="71"/>
      <c r="L242" s="55" t="str">
        <f t="shared" ca="1" si="9"/>
        <v>NE</v>
      </c>
    </row>
    <row r="243" spans="1:12" ht="27" thickBot="1">
      <c r="A243" s="72"/>
      <c r="B243" s="74"/>
      <c r="C243" s="71"/>
      <c r="D243" s="71"/>
      <c r="E243" s="72"/>
      <c r="F243" s="70"/>
      <c r="G243" s="72" t="str">
        <f t="shared" ca="1" si="8"/>
        <v/>
      </c>
      <c r="H243" s="72"/>
      <c r="I243" s="71"/>
      <c r="L243" s="55" t="str">
        <f t="shared" ca="1" si="9"/>
        <v>NE</v>
      </c>
    </row>
    <row r="244" spans="1:12" ht="27" thickBot="1">
      <c r="A244" s="72"/>
      <c r="B244" s="74"/>
      <c r="C244" s="71"/>
      <c r="D244" s="71"/>
      <c r="E244" s="72"/>
      <c r="F244" s="70"/>
      <c r="G244" s="72" t="str">
        <f t="shared" ca="1" si="8"/>
        <v/>
      </c>
      <c r="H244" s="72"/>
      <c r="I244" s="71"/>
      <c r="L244" s="55" t="str">
        <f t="shared" ca="1" si="9"/>
        <v>NE</v>
      </c>
    </row>
    <row r="245" spans="1:12" ht="27" thickBot="1">
      <c r="A245" s="72"/>
      <c r="B245" s="74"/>
      <c r="C245" s="71"/>
      <c r="D245" s="71"/>
      <c r="E245" s="72"/>
      <c r="F245" s="70"/>
      <c r="G245" s="72" t="str">
        <f t="shared" ca="1" si="8"/>
        <v/>
      </c>
      <c r="H245" s="72"/>
      <c r="I245" s="71"/>
      <c r="L245" s="55" t="str">
        <f t="shared" ca="1" si="9"/>
        <v>NE</v>
      </c>
    </row>
    <row r="246" spans="1:12" ht="27" thickBot="1">
      <c r="A246" s="72"/>
      <c r="B246" s="74"/>
      <c r="C246" s="71"/>
      <c r="D246" s="71"/>
      <c r="E246" s="72"/>
      <c r="F246" s="70"/>
      <c r="G246" s="72" t="str">
        <f t="shared" ca="1" si="8"/>
        <v/>
      </c>
      <c r="H246" s="72"/>
      <c r="I246" s="71"/>
      <c r="L246" s="55" t="str">
        <f t="shared" ca="1" si="9"/>
        <v>NE</v>
      </c>
    </row>
    <row r="247" spans="1:12" ht="27" thickBot="1">
      <c r="A247" s="72"/>
      <c r="B247" s="74"/>
      <c r="C247" s="71"/>
      <c r="D247" s="71"/>
      <c r="E247" s="72"/>
      <c r="F247" s="70"/>
      <c r="G247" s="72" t="str">
        <f t="shared" ca="1" si="8"/>
        <v/>
      </c>
      <c r="H247" s="72"/>
      <c r="I247" s="71"/>
      <c r="L247" s="55" t="str">
        <f t="shared" ca="1" si="9"/>
        <v>NE</v>
      </c>
    </row>
    <row r="248" spans="1:12" ht="27" thickBot="1">
      <c r="A248" s="72"/>
      <c r="B248" s="74"/>
      <c r="C248" s="71"/>
      <c r="D248" s="71"/>
      <c r="E248" s="72"/>
      <c r="F248" s="70"/>
      <c r="G248" s="72" t="str">
        <f t="shared" ca="1" si="8"/>
        <v/>
      </c>
      <c r="H248" s="72"/>
      <c r="I248" s="71"/>
      <c r="L248" s="55" t="str">
        <f t="shared" ca="1" si="9"/>
        <v>NE</v>
      </c>
    </row>
    <row r="249" spans="1:12" ht="27" thickBot="1">
      <c r="A249" s="72"/>
      <c r="B249" s="74"/>
      <c r="C249" s="71"/>
      <c r="D249" s="71"/>
      <c r="E249" s="72"/>
      <c r="F249" s="70"/>
      <c r="G249" s="72" t="str">
        <f t="shared" ca="1" si="8"/>
        <v/>
      </c>
      <c r="H249" s="72"/>
      <c r="I249" s="71"/>
      <c r="L249" s="55" t="str">
        <f t="shared" ca="1" si="9"/>
        <v>NE</v>
      </c>
    </row>
    <row r="250" spans="1:12" ht="27" thickBot="1">
      <c r="A250" s="72"/>
      <c r="B250" s="74"/>
      <c r="C250" s="71"/>
      <c r="D250" s="71"/>
      <c r="E250" s="72"/>
      <c r="F250" s="70"/>
      <c r="G250" s="72" t="str">
        <f t="shared" ca="1" si="8"/>
        <v/>
      </c>
      <c r="H250" s="72"/>
      <c r="I250" s="71"/>
      <c r="L250" s="55" t="str">
        <f t="shared" ca="1" si="9"/>
        <v>NE</v>
      </c>
    </row>
    <row r="251" spans="1:12" ht="27" thickBot="1">
      <c r="A251" s="72"/>
      <c r="B251" s="74"/>
      <c r="C251" s="71"/>
      <c r="D251" s="71"/>
      <c r="E251" s="72"/>
      <c r="F251" s="70"/>
      <c r="G251" s="72" t="str">
        <f t="shared" ca="1" si="8"/>
        <v/>
      </c>
      <c r="H251" s="72"/>
      <c r="I251" s="71"/>
      <c r="L251" s="55" t="str">
        <f t="shared" ca="1" si="9"/>
        <v>NE</v>
      </c>
    </row>
    <row r="252" spans="1:12" ht="27" thickBot="1">
      <c r="A252" s="72"/>
      <c r="B252" s="74"/>
      <c r="C252" s="71"/>
      <c r="D252" s="71"/>
      <c r="E252" s="72"/>
      <c r="F252" s="70"/>
      <c r="G252" s="72" t="str">
        <f t="shared" ca="1" si="8"/>
        <v/>
      </c>
      <c r="H252" s="72"/>
      <c r="I252" s="71"/>
      <c r="L252" s="55" t="str">
        <f t="shared" ca="1" si="9"/>
        <v>NE</v>
      </c>
    </row>
    <row r="253" spans="1:12" ht="27" thickBot="1">
      <c r="A253" s="72"/>
      <c r="B253" s="74"/>
      <c r="C253" s="71"/>
      <c r="D253" s="71"/>
      <c r="E253" s="72"/>
      <c r="F253" s="70"/>
      <c r="G253" s="72" t="str">
        <f t="shared" ca="1" si="8"/>
        <v/>
      </c>
      <c r="H253" s="72"/>
      <c r="I253" s="71"/>
      <c r="L253" s="55" t="str">
        <f t="shared" ca="1" si="9"/>
        <v>NE</v>
      </c>
    </row>
    <row r="254" spans="1:12" ht="27" thickBot="1">
      <c r="A254" s="72"/>
      <c r="B254" s="74"/>
      <c r="C254" s="71"/>
      <c r="D254" s="71"/>
      <c r="E254" s="72"/>
      <c r="F254" s="70"/>
      <c r="G254" s="72" t="str">
        <f t="shared" ca="1" si="8"/>
        <v/>
      </c>
      <c r="H254" s="72"/>
      <c r="I254" s="71"/>
      <c r="L254" s="55" t="str">
        <f t="shared" ca="1" si="9"/>
        <v>NE</v>
      </c>
    </row>
    <row r="255" spans="1:12" ht="27" thickBot="1">
      <c r="A255" s="72"/>
      <c r="B255" s="74"/>
      <c r="C255" s="71"/>
      <c r="D255" s="71"/>
      <c r="E255" s="72"/>
      <c r="F255" s="70"/>
      <c r="G255" s="72" t="str">
        <f t="shared" ca="1" si="8"/>
        <v/>
      </c>
      <c r="H255" s="72"/>
      <c r="I255" s="71"/>
      <c r="L255" s="55" t="str">
        <f t="shared" ca="1" si="9"/>
        <v>NE</v>
      </c>
    </row>
    <row r="256" spans="1:12" ht="27" thickBot="1">
      <c r="A256" s="72"/>
      <c r="B256" s="74"/>
      <c r="C256" s="71"/>
      <c r="D256" s="71"/>
      <c r="E256" s="72"/>
      <c r="F256" s="70"/>
      <c r="G256" s="72" t="str">
        <f t="shared" ca="1" si="8"/>
        <v/>
      </c>
      <c r="H256" s="72"/>
      <c r="I256" s="71"/>
      <c r="L256" s="55" t="str">
        <f t="shared" ca="1" si="9"/>
        <v>NE</v>
      </c>
    </row>
    <row r="257" spans="1:12" ht="27" thickBot="1">
      <c r="A257" s="72"/>
      <c r="B257" s="74"/>
      <c r="C257" s="71"/>
      <c r="D257" s="71"/>
      <c r="E257" s="72"/>
      <c r="F257" s="70"/>
      <c r="G257" s="72" t="str">
        <f t="shared" ca="1" si="8"/>
        <v/>
      </c>
      <c r="H257" s="72"/>
      <c r="I257" s="71"/>
      <c r="L257" s="55" t="str">
        <f t="shared" ca="1" si="9"/>
        <v>NE</v>
      </c>
    </row>
    <row r="258" spans="1:12" ht="27" thickBot="1">
      <c r="A258" s="72"/>
      <c r="B258" s="74"/>
      <c r="C258" s="71"/>
      <c r="D258" s="71"/>
      <c r="E258" s="72"/>
      <c r="F258" s="70"/>
      <c r="G258" s="72" t="str">
        <f t="shared" ca="1" si="8"/>
        <v/>
      </c>
      <c r="H258" s="72"/>
      <c r="I258" s="71"/>
      <c r="L258" s="55" t="str">
        <f t="shared" ca="1" si="9"/>
        <v>NE</v>
      </c>
    </row>
    <row r="259" spans="1:12" ht="27" thickBot="1">
      <c r="A259" s="72"/>
      <c r="B259" s="74"/>
      <c r="C259" s="71"/>
      <c r="D259" s="71"/>
      <c r="E259" s="72"/>
      <c r="F259" s="70"/>
      <c r="G259" s="72" t="str">
        <f t="shared" ca="1" si="8"/>
        <v/>
      </c>
      <c r="H259" s="72"/>
      <c r="I259" s="71"/>
      <c r="L259" s="55" t="str">
        <f t="shared" ca="1" si="9"/>
        <v>NE</v>
      </c>
    </row>
    <row r="260" spans="1:12" ht="27" thickBot="1">
      <c r="A260" s="72"/>
      <c r="B260" s="74"/>
      <c r="C260" s="71"/>
      <c r="D260" s="71"/>
      <c r="E260" s="72"/>
      <c r="F260" s="70"/>
      <c r="G260" s="72" t="str">
        <f t="shared" ca="1" si="8"/>
        <v/>
      </c>
      <c r="H260" s="72"/>
      <c r="I260" s="71"/>
      <c r="L260" s="55" t="str">
        <f t="shared" ca="1" si="9"/>
        <v>NE</v>
      </c>
    </row>
    <row r="261" spans="1:12" ht="27" thickBot="1">
      <c r="A261" s="72"/>
      <c r="B261" s="74"/>
      <c r="C261" s="71"/>
      <c r="D261" s="71"/>
      <c r="E261" s="72"/>
      <c r="F261" s="70"/>
      <c r="G261" s="72" t="str">
        <f t="shared" ca="1" si="8"/>
        <v/>
      </c>
      <c r="H261" s="72"/>
      <c r="I261" s="71"/>
      <c r="L261" s="55" t="str">
        <f t="shared" ca="1" si="9"/>
        <v>NE</v>
      </c>
    </row>
    <row r="262" spans="1:12" ht="27" thickBot="1">
      <c r="A262" s="72"/>
      <c r="B262" s="74"/>
      <c r="C262" s="71"/>
      <c r="D262" s="71"/>
      <c r="E262" s="72"/>
      <c r="F262" s="70"/>
      <c r="G262" s="72" t="str">
        <f t="shared" ca="1" si="8"/>
        <v/>
      </c>
      <c r="H262" s="72"/>
      <c r="I262" s="71"/>
      <c r="L262" s="55" t="str">
        <f t="shared" ca="1" si="9"/>
        <v>NE</v>
      </c>
    </row>
    <row r="263" spans="1:12" ht="27" thickBot="1">
      <c r="A263" s="72"/>
      <c r="B263" s="74"/>
      <c r="C263" s="71"/>
      <c r="D263" s="71"/>
      <c r="E263" s="72"/>
      <c r="F263" s="70"/>
      <c r="G263" s="72" t="str">
        <f t="shared" ca="1" si="8"/>
        <v/>
      </c>
      <c r="H263" s="72"/>
      <c r="I263" s="71"/>
      <c r="L263" s="55" t="str">
        <f t="shared" ca="1" si="9"/>
        <v>NE</v>
      </c>
    </row>
    <row r="264" spans="1:12" ht="27" thickBot="1">
      <c r="A264" s="72"/>
      <c r="B264" s="74"/>
      <c r="C264" s="71"/>
      <c r="D264" s="71"/>
      <c r="E264" s="72"/>
      <c r="F264" s="70"/>
      <c r="G264" s="72" t="str">
        <f t="shared" ca="1" si="8"/>
        <v/>
      </c>
      <c r="H264" s="72"/>
      <c r="I264" s="71"/>
      <c r="L264" s="55" t="str">
        <f t="shared" ca="1" si="9"/>
        <v>NE</v>
      </c>
    </row>
    <row r="265" spans="1:12" ht="27" thickBot="1">
      <c r="A265" s="72"/>
      <c r="B265" s="74"/>
      <c r="C265" s="71"/>
      <c r="D265" s="71"/>
      <c r="E265" s="72"/>
      <c r="F265" s="70"/>
      <c r="G265" s="72" t="str">
        <f t="shared" ca="1" si="8"/>
        <v/>
      </c>
      <c r="H265" s="72"/>
      <c r="I265" s="71"/>
      <c r="L265" s="55" t="str">
        <f t="shared" ca="1" si="9"/>
        <v>NE</v>
      </c>
    </row>
    <row r="266" spans="1:12" ht="27" thickBot="1">
      <c r="A266" s="72"/>
      <c r="B266" s="74"/>
      <c r="C266" s="71"/>
      <c r="D266" s="71"/>
      <c r="E266" s="72"/>
      <c r="F266" s="70"/>
      <c r="G266" s="72" t="str">
        <f t="shared" ca="1" si="8"/>
        <v/>
      </c>
      <c r="H266" s="72"/>
      <c r="I266" s="71"/>
      <c r="L266" s="55" t="str">
        <f t="shared" ca="1" si="9"/>
        <v>NE</v>
      </c>
    </row>
    <row r="267" spans="1:12" ht="27" thickBot="1">
      <c r="A267" s="72"/>
      <c r="B267" s="74"/>
      <c r="C267" s="71"/>
      <c r="D267" s="71"/>
      <c r="E267" s="72"/>
      <c r="F267" s="70"/>
      <c r="G267" s="72" t="str">
        <f t="shared" ca="1" si="8"/>
        <v/>
      </c>
      <c r="H267" s="72"/>
      <c r="I267" s="71"/>
      <c r="L267" s="55" t="str">
        <f t="shared" ca="1" si="9"/>
        <v>NE</v>
      </c>
    </row>
    <row r="268" spans="1:12" ht="27" thickBot="1">
      <c r="A268" s="72"/>
      <c r="B268" s="74"/>
      <c r="C268" s="71"/>
      <c r="D268" s="71"/>
      <c r="E268" s="72"/>
      <c r="F268" s="70"/>
      <c r="G268" s="72" t="str">
        <f t="shared" ca="1" si="8"/>
        <v/>
      </c>
      <c r="H268" s="72"/>
      <c r="I268" s="71"/>
      <c r="L268" s="55" t="str">
        <f t="shared" ca="1" si="9"/>
        <v>NE</v>
      </c>
    </row>
    <row r="269" spans="1:12" ht="27" thickBot="1">
      <c r="A269" s="72"/>
      <c r="B269" s="74"/>
      <c r="C269" s="71"/>
      <c r="D269" s="71"/>
      <c r="E269" s="72"/>
      <c r="F269" s="70"/>
      <c r="G269" s="72" t="str">
        <f t="shared" ca="1" si="8"/>
        <v/>
      </c>
      <c r="H269" s="72"/>
      <c r="I269" s="71"/>
      <c r="L269" s="55" t="str">
        <f t="shared" ca="1" si="9"/>
        <v>NE</v>
      </c>
    </row>
    <row r="270" spans="1:12" ht="27" thickBot="1">
      <c r="A270" s="72"/>
      <c r="B270" s="74"/>
      <c r="C270" s="71"/>
      <c r="D270" s="71"/>
      <c r="E270" s="72"/>
      <c r="F270" s="70"/>
      <c r="G270" s="72" t="str">
        <f t="shared" ca="1" si="8"/>
        <v/>
      </c>
      <c r="H270" s="72"/>
      <c r="I270" s="71"/>
      <c r="L270" s="55" t="str">
        <f t="shared" ca="1" si="9"/>
        <v>NE</v>
      </c>
    </row>
    <row r="271" spans="1:12" ht="27" thickBot="1">
      <c r="A271" s="72"/>
      <c r="B271" s="74"/>
      <c r="C271" s="71"/>
      <c r="D271" s="71"/>
      <c r="E271" s="72"/>
      <c r="F271" s="70"/>
      <c r="G271" s="72" t="str">
        <f t="shared" ca="1" si="8"/>
        <v/>
      </c>
      <c r="H271" s="72"/>
      <c r="I271" s="71"/>
      <c r="L271" s="55" t="str">
        <f t="shared" ca="1" si="9"/>
        <v>NE</v>
      </c>
    </row>
    <row r="272" spans="1:12" ht="27" thickBot="1">
      <c r="A272" s="72"/>
      <c r="B272" s="74"/>
      <c r="C272" s="71"/>
      <c r="D272" s="71"/>
      <c r="E272" s="72"/>
      <c r="F272" s="70"/>
      <c r="G272" s="72" t="str">
        <f t="shared" ca="1" si="8"/>
        <v/>
      </c>
      <c r="H272" s="72"/>
      <c r="I272" s="71"/>
      <c r="L272" s="55" t="str">
        <f t="shared" ca="1" si="9"/>
        <v>NE</v>
      </c>
    </row>
    <row r="273" spans="1:12" ht="27" thickBot="1">
      <c r="A273" s="72"/>
      <c r="B273" s="74"/>
      <c r="C273" s="71"/>
      <c r="D273" s="71"/>
      <c r="E273" s="72"/>
      <c r="F273" s="70"/>
      <c r="G273" s="72" t="str">
        <f t="shared" ca="1" si="8"/>
        <v/>
      </c>
      <c r="H273" s="72"/>
      <c r="I273" s="71"/>
      <c r="L273" s="55" t="str">
        <f t="shared" ca="1" si="9"/>
        <v>NE</v>
      </c>
    </row>
    <row r="274" spans="1:12" ht="27" thickBot="1">
      <c r="A274" s="72"/>
      <c r="B274" s="74"/>
      <c r="C274" s="71"/>
      <c r="D274" s="71"/>
      <c r="E274" s="72"/>
      <c r="F274" s="70"/>
      <c r="G274" s="72" t="str">
        <f t="shared" ca="1" si="8"/>
        <v/>
      </c>
      <c r="H274" s="72"/>
      <c r="I274" s="71"/>
      <c r="L274" s="55" t="str">
        <f t="shared" ca="1" si="9"/>
        <v>NE</v>
      </c>
    </row>
    <row r="275" spans="1:12" ht="27" thickBot="1">
      <c r="A275" s="72"/>
      <c r="B275" s="74"/>
      <c r="C275" s="71"/>
      <c r="D275" s="71"/>
      <c r="E275" s="72"/>
      <c r="F275" s="70"/>
      <c r="G275" s="72" t="str">
        <f t="shared" ca="1" si="8"/>
        <v/>
      </c>
      <c r="H275" s="72"/>
      <c r="I275" s="71"/>
      <c r="L275" s="55" t="str">
        <f t="shared" ca="1" si="9"/>
        <v>NE</v>
      </c>
    </row>
    <row r="276" spans="1:12" ht="27" thickBot="1">
      <c r="A276" s="72"/>
      <c r="B276" s="74"/>
      <c r="C276" s="71"/>
      <c r="D276" s="71"/>
      <c r="E276" s="72"/>
      <c r="F276" s="70"/>
      <c r="G276" s="72" t="str">
        <f t="shared" ca="1" si="8"/>
        <v/>
      </c>
      <c r="H276" s="72"/>
      <c r="I276" s="71"/>
      <c r="L276" s="55" t="str">
        <f t="shared" ca="1" si="9"/>
        <v>NE</v>
      </c>
    </row>
    <row r="277" spans="1:12" ht="27" thickBot="1">
      <c r="A277" s="72"/>
      <c r="B277" s="74"/>
      <c r="C277" s="71"/>
      <c r="D277" s="71"/>
      <c r="E277" s="72"/>
      <c r="F277" s="70"/>
      <c r="G277" s="72" t="str">
        <f t="shared" ca="1" si="8"/>
        <v/>
      </c>
      <c r="H277" s="72"/>
      <c r="I277" s="71"/>
      <c r="L277" s="55" t="str">
        <f t="shared" ca="1" si="9"/>
        <v>NE</v>
      </c>
    </row>
    <row r="278" spans="1:12" ht="27" thickBot="1">
      <c r="A278" s="72"/>
      <c r="B278" s="74"/>
      <c r="C278" s="71"/>
      <c r="D278" s="71"/>
      <c r="E278" s="72"/>
      <c r="F278" s="70"/>
      <c r="G278" s="72" t="str">
        <f t="shared" ca="1" si="8"/>
        <v/>
      </c>
      <c r="H278" s="72"/>
      <c r="I278" s="71"/>
      <c r="L278" s="55" t="str">
        <f t="shared" ca="1" si="9"/>
        <v>NE</v>
      </c>
    </row>
    <row r="279" spans="1:12" ht="27" thickBot="1">
      <c r="A279" s="72"/>
      <c r="B279" s="74"/>
      <c r="C279" s="71"/>
      <c r="D279" s="71"/>
      <c r="E279" s="72"/>
      <c r="F279" s="70"/>
      <c r="G279" s="72" t="str">
        <f t="shared" ca="1" si="8"/>
        <v/>
      </c>
      <c r="H279" s="72"/>
      <c r="I279" s="71"/>
      <c r="L279" s="55" t="str">
        <f t="shared" ca="1" si="9"/>
        <v>NE</v>
      </c>
    </row>
    <row r="280" spans="1:12" ht="27" thickBot="1">
      <c r="A280" s="72"/>
      <c r="B280" s="74"/>
      <c r="C280" s="71"/>
      <c r="D280" s="71"/>
      <c r="E280" s="72"/>
      <c r="F280" s="70"/>
      <c r="G280" s="72" t="str">
        <f t="shared" ca="1" si="8"/>
        <v/>
      </c>
      <c r="H280" s="72"/>
      <c r="I280" s="71"/>
      <c r="L280" s="55" t="str">
        <f t="shared" ca="1" si="9"/>
        <v>NE</v>
      </c>
    </row>
    <row r="281" spans="1:12" ht="27" thickBot="1">
      <c r="A281" s="72"/>
      <c r="B281" s="74"/>
      <c r="C281" s="71"/>
      <c r="D281" s="71"/>
      <c r="E281" s="72"/>
      <c r="F281" s="70"/>
      <c r="G281" s="72" t="str">
        <f t="shared" ca="1" si="8"/>
        <v/>
      </c>
      <c r="H281" s="72"/>
      <c r="I281" s="71"/>
      <c r="L281" s="55" t="str">
        <f t="shared" ca="1" si="9"/>
        <v>NE</v>
      </c>
    </row>
    <row r="282" spans="1:12" ht="27" thickBot="1">
      <c r="A282" s="72"/>
      <c r="B282" s="74"/>
      <c r="C282" s="71"/>
      <c r="D282" s="71"/>
      <c r="E282" s="72"/>
      <c r="F282" s="70"/>
      <c r="G282" s="72" t="str">
        <f t="shared" ca="1" si="8"/>
        <v/>
      </c>
      <c r="H282" s="72"/>
      <c r="I282" s="71"/>
      <c r="L282" s="55" t="str">
        <f t="shared" ca="1" si="9"/>
        <v>NE</v>
      </c>
    </row>
    <row r="283" spans="1:12" ht="27" thickBot="1">
      <c r="A283" s="72"/>
      <c r="B283" s="74"/>
      <c r="C283" s="71"/>
      <c r="D283" s="71"/>
      <c r="E283" s="72"/>
      <c r="F283" s="70"/>
      <c r="G283" s="72" t="str">
        <f t="shared" ca="1" si="8"/>
        <v/>
      </c>
      <c r="H283" s="72"/>
      <c r="I283" s="71"/>
      <c r="L283" s="55" t="str">
        <f t="shared" ca="1" si="9"/>
        <v>NE</v>
      </c>
    </row>
    <row r="284" spans="1:12" ht="27" thickBot="1">
      <c r="A284" s="72"/>
      <c r="B284" s="74"/>
      <c r="C284" s="71"/>
      <c r="D284" s="71"/>
      <c r="E284" s="72"/>
      <c r="F284" s="70"/>
      <c r="G284" s="72" t="str">
        <f t="shared" ca="1" si="8"/>
        <v/>
      </c>
      <c r="H284" s="72"/>
      <c r="I284" s="71"/>
      <c r="L284" s="55" t="str">
        <f t="shared" ca="1" si="9"/>
        <v>NE</v>
      </c>
    </row>
    <row r="285" spans="1:12" ht="27" thickBot="1">
      <c r="A285" s="72"/>
      <c r="B285" s="74"/>
      <c r="C285" s="71"/>
      <c r="D285" s="71"/>
      <c r="E285" s="72"/>
      <c r="F285" s="70"/>
      <c r="G285" s="72" t="str">
        <f t="shared" ca="1" si="8"/>
        <v/>
      </c>
      <c r="H285" s="72"/>
      <c r="I285" s="71"/>
      <c r="L285" s="55" t="str">
        <f t="shared" ca="1" si="9"/>
        <v>NE</v>
      </c>
    </row>
    <row r="286" spans="1:12" ht="27" thickBot="1">
      <c r="A286" s="72"/>
      <c r="B286" s="74"/>
      <c r="C286" s="71"/>
      <c r="D286" s="71"/>
      <c r="E286" s="72"/>
      <c r="F286" s="70"/>
      <c r="G286" s="72" t="str">
        <f t="shared" ca="1" si="8"/>
        <v/>
      </c>
      <c r="H286" s="72"/>
      <c r="I286" s="71"/>
      <c r="L286" s="55" t="str">
        <f t="shared" ca="1" si="9"/>
        <v>NE</v>
      </c>
    </row>
    <row r="287" spans="1:12" ht="27" thickBot="1">
      <c r="A287" s="72"/>
      <c r="B287" s="74"/>
      <c r="C287" s="71"/>
      <c r="D287" s="71"/>
      <c r="E287" s="72"/>
      <c r="F287" s="70"/>
      <c r="G287" s="72" t="str">
        <f t="shared" ca="1" si="8"/>
        <v/>
      </c>
      <c r="H287" s="72"/>
      <c r="I287" s="71"/>
      <c r="L287" s="55" t="str">
        <f t="shared" ca="1" si="9"/>
        <v>NE</v>
      </c>
    </row>
    <row r="288" spans="1:12" ht="27" thickBot="1">
      <c r="A288" s="72"/>
      <c r="B288" s="74"/>
      <c r="C288" s="71"/>
      <c r="D288" s="71"/>
      <c r="E288" s="72"/>
      <c r="F288" s="70"/>
      <c r="G288" s="72" t="str">
        <f t="shared" ca="1" si="8"/>
        <v/>
      </c>
      <c r="H288" s="72"/>
      <c r="I288" s="71"/>
      <c r="L288" s="55" t="str">
        <f t="shared" ca="1" si="9"/>
        <v>NE</v>
      </c>
    </row>
    <row r="289" spans="1:12" ht="27" thickBot="1">
      <c r="A289" s="72"/>
      <c r="B289" s="74"/>
      <c r="C289" s="71"/>
      <c r="D289" s="71"/>
      <c r="E289" s="72"/>
      <c r="F289" s="70"/>
      <c r="G289" s="72" t="str">
        <f t="shared" ca="1" si="8"/>
        <v/>
      </c>
      <c r="H289" s="72"/>
      <c r="I289" s="71"/>
      <c r="L289" s="55" t="str">
        <f t="shared" ca="1" si="9"/>
        <v>NE</v>
      </c>
    </row>
    <row r="290" spans="1:12" ht="27" thickBot="1">
      <c r="A290" s="72"/>
      <c r="B290" s="74"/>
      <c r="C290" s="71"/>
      <c r="D290" s="71"/>
      <c r="E290" s="72"/>
      <c r="F290" s="70"/>
      <c r="G290" s="72" t="str">
        <f t="shared" ca="1" si="8"/>
        <v/>
      </c>
      <c r="H290" s="72"/>
      <c r="I290" s="71"/>
      <c r="L290" s="55" t="str">
        <f t="shared" ca="1" si="9"/>
        <v>NE</v>
      </c>
    </row>
    <row r="291" spans="1:12" ht="27" thickBot="1">
      <c r="A291" s="72"/>
      <c r="B291" s="74"/>
      <c r="C291" s="71"/>
      <c r="D291" s="71"/>
      <c r="E291" s="72"/>
      <c r="F291" s="70"/>
      <c r="G291" s="72" t="str">
        <f t="shared" ca="1" si="8"/>
        <v/>
      </c>
      <c r="H291" s="72"/>
      <c r="I291" s="71"/>
      <c r="L291" s="55" t="str">
        <f t="shared" ca="1" si="9"/>
        <v>NE</v>
      </c>
    </row>
    <row r="292" spans="1:12" ht="27" thickBot="1">
      <c r="A292" s="72"/>
      <c r="B292" s="74"/>
      <c r="C292" s="71"/>
      <c r="D292" s="71"/>
      <c r="E292" s="72"/>
      <c r="F292" s="70"/>
      <c r="G292" s="72" t="str">
        <f t="shared" ca="1" si="8"/>
        <v/>
      </c>
      <c r="H292" s="72"/>
      <c r="I292" s="71"/>
      <c r="L292" s="55" t="str">
        <f t="shared" ca="1" si="9"/>
        <v>NE</v>
      </c>
    </row>
    <row r="293" spans="1:12" ht="27" thickBot="1">
      <c r="A293" s="72"/>
      <c r="B293" s="74"/>
      <c r="C293" s="71"/>
      <c r="D293" s="71"/>
      <c r="E293" s="72"/>
      <c r="F293" s="70"/>
      <c r="G293" s="72" t="str">
        <f t="shared" ca="1" si="8"/>
        <v/>
      </c>
      <c r="H293" s="72"/>
      <c r="I293" s="71"/>
      <c r="L293" s="55" t="str">
        <f t="shared" ca="1" si="9"/>
        <v>NE</v>
      </c>
    </row>
    <row r="294" spans="1:12" ht="27" thickBot="1">
      <c r="A294" s="72"/>
      <c r="B294" s="74"/>
      <c r="C294" s="71"/>
      <c r="D294" s="71"/>
      <c r="E294" s="72"/>
      <c r="F294" s="70"/>
      <c r="G294" s="72" t="str">
        <f t="shared" ca="1" si="8"/>
        <v/>
      </c>
      <c r="H294" s="72"/>
      <c r="I294" s="71"/>
      <c r="L294" s="55" t="str">
        <f t="shared" ca="1" si="9"/>
        <v>NE</v>
      </c>
    </row>
    <row r="295" spans="1:12" ht="27" thickBot="1">
      <c r="A295" s="72"/>
      <c r="B295" s="74"/>
      <c r="C295" s="71"/>
      <c r="D295" s="71"/>
      <c r="E295" s="72"/>
      <c r="F295" s="70"/>
      <c r="G295" s="72" t="str">
        <f t="shared" ca="1" si="8"/>
        <v/>
      </c>
      <c r="H295" s="72"/>
      <c r="I295" s="71"/>
      <c r="L295" s="55" t="str">
        <f t="shared" ca="1" si="9"/>
        <v>NE</v>
      </c>
    </row>
    <row r="296" spans="1:12" ht="27" thickBot="1">
      <c r="A296" s="72"/>
      <c r="B296" s="74"/>
      <c r="C296" s="71"/>
      <c r="D296" s="71"/>
      <c r="E296" s="72"/>
      <c r="F296" s="70"/>
      <c r="G296" s="72" t="str">
        <f t="shared" ca="1" si="8"/>
        <v/>
      </c>
      <c r="H296" s="72"/>
      <c r="I296" s="71"/>
      <c r="L296" s="55" t="str">
        <f t="shared" ca="1" si="9"/>
        <v>NE</v>
      </c>
    </row>
    <row r="297" spans="1:12" ht="27" thickBot="1">
      <c r="A297" s="72"/>
      <c r="B297" s="74"/>
      <c r="C297" s="71"/>
      <c r="D297" s="71"/>
      <c r="E297" s="72"/>
      <c r="F297" s="70"/>
      <c r="G297" s="72" t="str">
        <f t="shared" ca="1" si="8"/>
        <v/>
      </c>
      <c r="H297" s="72"/>
      <c r="I297" s="71"/>
      <c r="L297" s="55" t="str">
        <f t="shared" ca="1" si="9"/>
        <v>NE</v>
      </c>
    </row>
    <row r="298" spans="1:12" ht="27" thickBot="1">
      <c r="A298" s="72"/>
      <c r="B298" s="74"/>
      <c r="C298" s="71"/>
      <c r="D298" s="71"/>
      <c r="E298" s="72"/>
      <c r="F298" s="70"/>
      <c r="G298" s="72" t="str">
        <f t="shared" ca="1" si="8"/>
        <v/>
      </c>
      <c r="H298" s="72"/>
      <c r="I298" s="71"/>
      <c r="L298" s="55" t="str">
        <f t="shared" ca="1" si="9"/>
        <v>NE</v>
      </c>
    </row>
    <row r="299" spans="1:12" ht="27" thickBot="1">
      <c r="A299" s="72"/>
      <c r="B299" s="74"/>
      <c r="C299" s="71"/>
      <c r="D299" s="71"/>
      <c r="E299" s="72"/>
      <c r="F299" s="70"/>
      <c r="G299" s="72" t="str">
        <f t="shared" ca="1" si="8"/>
        <v/>
      </c>
      <c r="H299" s="72"/>
      <c r="I299" s="71"/>
      <c r="L299" s="55" t="str">
        <f t="shared" ca="1" si="9"/>
        <v>NE</v>
      </c>
    </row>
    <row r="300" spans="1:12" ht="27" thickBot="1">
      <c r="A300" s="72"/>
      <c r="B300" s="74"/>
      <c r="C300" s="71"/>
      <c r="D300" s="71"/>
      <c r="E300" s="72"/>
      <c r="F300" s="70"/>
      <c r="G300" s="72" t="str">
        <f t="shared" ca="1" si="8"/>
        <v/>
      </c>
      <c r="H300" s="72"/>
      <c r="I300" s="71"/>
      <c r="L300" s="55" t="str">
        <f t="shared" ca="1" si="9"/>
        <v>NE</v>
      </c>
    </row>
    <row r="301" spans="1:12" ht="27" thickBot="1">
      <c r="A301" s="72"/>
      <c r="B301" s="74"/>
      <c r="C301" s="71"/>
      <c r="D301" s="71"/>
      <c r="E301" s="72"/>
      <c r="F301" s="70"/>
      <c r="G301" s="72" t="str">
        <f t="shared" ca="1" si="8"/>
        <v/>
      </c>
      <c r="H301" s="72"/>
      <c r="I301" s="71"/>
      <c r="L301" s="55" t="str">
        <f t="shared" ca="1" si="9"/>
        <v>NE</v>
      </c>
    </row>
    <row r="302" spans="1:12" ht="27" thickBot="1">
      <c r="A302" s="72"/>
      <c r="B302" s="74"/>
      <c r="C302" s="71"/>
      <c r="D302" s="71"/>
      <c r="E302" s="72"/>
      <c r="F302" s="70"/>
      <c r="G302" s="72" t="str">
        <f t="shared" ref="G302:G365" ca="1" si="10">IF(ISBLANK(F302),"",IF(F302&gt;=TODAY(), "Non Echue", "Echue"))</f>
        <v/>
      </c>
      <c r="H302" s="72"/>
      <c r="I302" s="71"/>
      <c r="L302" s="55" t="str">
        <f t="shared" ref="L302:L365" ca="1" si="11" xml:space="preserve"> IF(G302 = "Echue",IF(H302 = "Appliqué","EAP","NAP"),"NE")</f>
        <v>NE</v>
      </c>
    </row>
    <row r="303" spans="1:12" ht="27" thickBot="1">
      <c r="A303" s="72"/>
      <c r="B303" s="74"/>
      <c r="C303" s="71"/>
      <c r="D303" s="71"/>
      <c r="E303" s="72"/>
      <c r="F303" s="70"/>
      <c r="G303" s="72" t="str">
        <f t="shared" ca="1" si="10"/>
        <v/>
      </c>
      <c r="H303" s="72"/>
      <c r="I303" s="71"/>
      <c r="L303" s="55" t="str">
        <f t="shared" ca="1" si="11"/>
        <v>NE</v>
      </c>
    </row>
    <row r="304" spans="1:12" ht="27" thickBot="1">
      <c r="A304" s="72"/>
      <c r="B304" s="74"/>
      <c r="C304" s="71"/>
      <c r="D304" s="71"/>
      <c r="E304" s="72"/>
      <c r="F304" s="70"/>
      <c r="G304" s="72" t="str">
        <f t="shared" ca="1" si="10"/>
        <v/>
      </c>
      <c r="H304" s="72"/>
      <c r="I304" s="71"/>
      <c r="L304" s="55" t="str">
        <f t="shared" ca="1" si="11"/>
        <v>NE</v>
      </c>
    </row>
    <row r="305" spans="1:12" ht="27" thickBot="1">
      <c r="A305" s="72"/>
      <c r="B305" s="74"/>
      <c r="C305" s="71"/>
      <c r="D305" s="71"/>
      <c r="E305" s="72"/>
      <c r="F305" s="70"/>
      <c r="G305" s="72" t="str">
        <f t="shared" ca="1" si="10"/>
        <v/>
      </c>
      <c r="H305" s="72"/>
      <c r="I305" s="71"/>
      <c r="L305" s="55" t="str">
        <f t="shared" ca="1" si="11"/>
        <v>NE</v>
      </c>
    </row>
    <row r="306" spans="1:12" ht="27" thickBot="1">
      <c r="A306" s="72"/>
      <c r="B306" s="74"/>
      <c r="C306" s="71"/>
      <c r="D306" s="71"/>
      <c r="E306" s="72"/>
      <c r="F306" s="70"/>
      <c r="G306" s="72" t="str">
        <f t="shared" ca="1" si="10"/>
        <v/>
      </c>
      <c r="H306" s="72"/>
      <c r="I306" s="71"/>
      <c r="L306" s="55" t="str">
        <f t="shared" ca="1" si="11"/>
        <v>NE</v>
      </c>
    </row>
    <row r="307" spans="1:12" ht="27" thickBot="1">
      <c r="A307" s="72"/>
      <c r="B307" s="74"/>
      <c r="C307" s="71"/>
      <c r="D307" s="71"/>
      <c r="E307" s="72"/>
      <c r="F307" s="70"/>
      <c r="G307" s="72" t="str">
        <f t="shared" ca="1" si="10"/>
        <v/>
      </c>
      <c r="H307" s="72"/>
      <c r="I307" s="71"/>
      <c r="L307" s="55" t="str">
        <f t="shared" ca="1" si="11"/>
        <v>NE</v>
      </c>
    </row>
    <row r="308" spans="1:12" ht="27" thickBot="1">
      <c r="A308" s="72"/>
      <c r="B308" s="74"/>
      <c r="C308" s="71"/>
      <c r="D308" s="71"/>
      <c r="E308" s="72"/>
      <c r="F308" s="70"/>
      <c r="G308" s="72" t="str">
        <f t="shared" ca="1" si="10"/>
        <v/>
      </c>
      <c r="H308" s="72"/>
      <c r="I308" s="71"/>
      <c r="L308" s="55" t="str">
        <f t="shared" ca="1" si="11"/>
        <v>NE</v>
      </c>
    </row>
    <row r="309" spans="1:12" ht="27" thickBot="1">
      <c r="A309" s="72"/>
      <c r="B309" s="74"/>
      <c r="C309" s="71"/>
      <c r="D309" s="71"/>
      <c r="E309" s="72"/>
      <c r="F309" s="70"/>
      <c r="G309" s="72" t="str">
        <f t="shared" ca="1" si="10"/>
        <v/>
      </c>
      <c r="H309" s="72"/>
      <c r="I309" s="71"/>
      <c r="L309" s="55" t="str">
        <f t="shared" ca="1" si="11"/>
        <v>NE</v>
      </c>
    </row>
    <row r="310" spans="1:12" ht="27" thickBot="1">
      <c r="A310" s="72"/>
      <c r="B310" s="74"/>
      <c r="C310" s="71"/>
      <c r="D310" s="71"/>
      <c r="E310" s="72"/>
      <c r="F310" s="70"/>
      <c r="G310" s="72" t="str">
        <f t="shared" ca="1" si="10"/>
        <v/>
      </c>
      <c r="H310" s="72"/>
      <c r="I310" s="71"/>
      <c r="L310" s="55" t="str">
        <f t="shared" ca="1" si="11"/>
        <v>NE</v>
      </c>
    </row>
    <row r="311" spans="1:12" ht="27" thickBot="1">
      <c r="A311" s="72"/>
      <c r="B311" s="74"/>
      <c r="C311" s="71"/>
      <c r="D311" s="71"/>
      <c r="E311" s="72"/>
      <c r="F311" s="70"/>
      <c r="G311" s="72" t="str">
        <f t="shared" ca="1" si="10"/>
        <v/>
      </c>
      <c r="H311" s="72"/>
      <c r="I311" s="71"/>
      <c r="L311" s="55" t="str">
        <f t="shared" ca="1" si="11"/>
        <v>NE</v>
      </c>
    </row>
    <row r="312" spans="1:12" ht="27" thickBot="1">
      <c r="A312" s="72"/>
      <c r="B312" s="74"/>
      <c r="C312" s="71"/>
      <c r="D312" s="71"/>
      <c r="E312" s="72"/>
      <c r="F312" s="70"/>
      <c r="G312" s="72" t="str">
        <f t="shared" ca="1" si="10"/>
        <v/>
      </c>
      <c r="H312" s="72"/>
      <c r="I312" s="71"/>
      <c r="L312" s="55" t="str">
        <f t="shared" ca="1" si="11"/>
        <v>NE</v>
      </c>
    </row>
    <row r="313" spans="1:12" ht="27" thickBot="1">
      <c r="A313" s="72"/>
      <c r="B313" s="74"/>
      <c r="C313" s="71"/>
      <c r="D313" s="71"/>
      <c r="E313" s="72"/>
      <c r="F313" s="70"/>
      <c r="G313" s="72" t="str">
        <f t="shared" ca="1" si="10"/>
        <v/>
      </c>
      <c r="H313" s="72"/>
      <c r="I313" s="71"/>
      <c r="L313" s="55" t="str">
        <f t="shared" ca="1" si="11"/>
        <v>NE</v>
      </c>
    </row>
    <row r="314" spans="1:12" ht="27" thickBot="1">
      <c r="A314" s="72"/>
      <c r="B314" s="74"/>
      <c r="C314" s="71"/>
      <c r="D314" s="71"/>
      <c r="E314" s="72"/>
      <c r="F314" s="70"/>
      <c r="G314" s="72" t="str">
        <f t="shared" ca="1" si="10"/>
        <v/>
      </c>
      <c r="H314" s="72"/>
      <c r="I314" s="71"/>
      <c r="L314" s="55" t="str">
        <f t="shared" ca="1" si="11"/>
        <v>NE</v>
      </c>
    </row>
    <row r="315" spans="1:12" ht="27" thickBot="1">
      <c r="A315" s="72"/>
      <c r="B315" s="74"/>
      <c r="C315" s="71"/>
      <c r="D315" s="71"/>
      <c r="E315" s="72"/>
      <c r="F315" s="70"/>
      <c r="G315" s="72" t="str">
        <f t="shared" ca="1" si="10"/>
        <v/>
      </c>
      <c r="H315" s="72"/>
      <c r="I315" s="71"/>
      <c r="L315" s="55" t="str">
        <f t="shared" ca="1" si="11"/>
        <v>NE</v>
      </c>
    </row>
    <row r="316" spans="1:12" ht="27" thickBot="1">
      <c r="A316" s="72"/>
      <c r="B316" s="74"/>
      <c r="C316" s="71"/>
      <c r="D316" s="71"/>
      <c r="E316" s="72"/>
      <c r="F316" s="70"/>
      <c r="G316" s="72" t="str">
        <f t="shared" ca="1" si="10"/>
        <v/>
      </c>
      <c r="H316" s="72"/>
      <c r="I316" s="71"/>
      <c r="L316" s="55" t="str">
        <f t="shared" ca="1" si="11"/>
        <v>NE</v>
      </c>
    </row>
    <row r="317" spans="1:12" ht="27" thickBot="1">
      <c r="A317" s="72"/>
      <c r="B317" s="74"/>
      <c r="C317" s="71"/>
      <c r="D317" s="71"/>
      <c r="E317" s="72"/>
      <c r="F317" s="70"/>
      <c r="G317" s="72" t="str">
        <f t="shared" ca="1" si="10"/>
        <v/>
      </c>
      <c r="H317" s="72"/>
      <c r="I317" s="71"/>
      <c r="L317" s="55" t="str">
        <f t="shared" ca="1" si="11"/>
        <v>NE</v>
      </c>
    </row>
    <row r="318" spans="1:12" ht="27" thickBot="1">
      <c r="A318" s="72"/>
      <c r="B318" s="74"/>
      <c r="C318" s="71"/>
      <c r="D318" s="71"/>
      <c r="E318" s="72"/>
      <c r="F318" s="70"/>
      <c r="G318" s="72" t="str">
        <f t="shared" ca="1" si="10"/>
        <v/>
      </c>
      <c r="H318" s="72"/>
      <c r="I318" s="71"/>
      <c r="L318" s="55" t="str">
        <f t="shared" ca="1" si="11"/>
        <v>NE</v>
      </c>
    </row>
    <row r="319" spans="1:12" ht="27" thickBot="1">
      <c r="A319" s="72"/>
      <c r="B319" s="74"/>
      <c r="C319" s="71"/>
      <c r="D319" s="71"/>
      <c r="E319" s="72"/>
      <c r="F319" s="70"/>
      <c r="G319" s="72" t="str">
        <f t="shared" ca="1" si="10"/>
        <v/>
      </c>
      <c r="H319" s="72"/>
      <c r="I319" s="71"/>
      <c r="L319" s="55" t="str">
        <f t="shared" ca="1" si="11"/>
        <v>NE</v>
      </c>
    </row>
    <row r="320" spans="1:12" ht="27" thickBot="1">
      <c r="A320" s="72"/>
      <c r="B320" s="74"/>
      <c r="C320" s="71"/>
      <c r="D320" s="71"/>
      <c r="E320" s="72"/>
      <c r="F320" s="70"/>
      <c r="G320" s="72" t="str">
        <f t="shared" ca="1" si="10"/>
        <v/>
      </c>
      <c r="H320" s="72"/>
      <c r="I320" s="71"/>
      <c r="L320" s="55" t="str">
        <f t="shared" ca="1" si="11"/>
        <v>NE</v>
      </c>
    </row>
    <row r="321" spans="1:12" ht="27" thickBot="1">
      <c r="A321" s="72"/>
      <c r="B321" s="74"/>
      <c r="C321" s="71"/>
      <c r="D321" s="71"/>
      <c r="E321" s="72"/>
      <c r="F321" s="70"/>
      <c r="G321" s="72" t="str">
        <f t="shared" ca="1" si="10"/>
        <v/>
      </c>
      <c r="H321" s="72"/>
      <c r="I321" s="71"/>
      <c r="L321" s="55" t="str">
        <f t="shared" ca="1" si="11"/>
        <v>NE</v>
      </c>
    </row>
    <row r="322" spans="1:12" ht="27" thickBot="1">
      <c r="A322" s="72"/>
      <c r="B322" s="74"/>
      <c r="C322" s="71"/>
      <c r="D322" s="71"/>
      <c r="E322" s="72"/>
      <c r="F322" s="70"/>
      <c r="G322" s="72" t="str">
        <f t="shared" ca="1" si="10"/>
        <v/>
      </c>
      <c r="H322" s="72"/>
      <c r="I322" s="71"/>
      <c r="L322" s="55" t="str">
        <f t="shared" ca="1" si="11"/>
        <v>NE</v>
      </c>
    </row>
    <row r="323" spans="1:12" ht="27" thickBot="1">
      <c r="A323" s="72"/>
      <c r="B323" s="74"/>
      <c r="C323" s="71"/>
      <c r="D323" s="71"/>
      <c r="E323" s="72"/>
      <c r="F323" s="70"/>
      <c r="G323" s="72" t="str">
        <f t="shared" ca="1" si="10"/>
        <v/>
      </c>
      <c r="H323" s="72"/>
      <c r="I323" s="71"/>
      <c r="L323" s="55" t="str">
        <f t="shared" ca="1" si="11"/>
        <v>NE</v>
      </c>
    </row>
    <row r="324" spans="1:12" ht="27" thickBot="1">
      <c r="A324" s="72"/>
      <c r="B324" s="74"/>
      <c r="C324" s="71"/>
      <c r="D324" s="71"/>
      <c r="E324" s="72"/>
      <c r="F324" s="70"/>
      <c r="G324" s="72" t="str">
        <f t="shared" ca="1" si="10"/>
        <v/>
      </c>
      <c r="H324" s="72"/>
      <c r="I324" s="71"/>
      <c r="L324" s="55" t="str">
        <f t="shared" ca="1" si="11"/>
        <v>NE</v>
      </c>
    </row>
    <row r="325" spans="1:12" ht="27" thickBot="1">
      <c r="A325" s="72"/>
      <c r="B325" s="74"/>
      <c r="C325" s="71"/>
      <c r="D325" s="71"/>
      <c r="E325" s="72"/>
      <c r="F325" s="70"/>
      <c r="G325" s="72" t="str">
        <f t="shared" ca="1" si="10"/>
        <v/>
      </c>
      <c r="H325" s="72"/>
      <c r="I325" s="71"/>
      <c r="L325" s="55" t="str">
        <f t="shared" ca="1" si="11"/>
        <v>NE</v>
      </c>
    </row>
    <row r="326" spans="1:12" ht="27" thickBot="1">
      <c r="A326" s="72"/>
      <c r="B326" s="74"/>
      <c r="C326" s="71"/>
      <c r="D326" s="71"/>
      <c r="E326" s="72"/>
      <c r="F326" s="70"/>
      <c r="G326" s="72" t="str">
        <f t="shared" ca="1" si="10"/>
        <v/>
      </c>
      <c r="H326" s="72"/>
      <c r="I326" s="71"/>
      <c r="L326" s="55" t="str">
        <f t="shared" ca="1" si="11"/>
        <v>NE</v>
      </c>
    </row>
    <row r="327" spans="1:12" ht="27" thickBot="1">
      <c r="A327" s="72"/>
      <c r="B327" s="74"/>
      <c r="C327" s="71"/>
      <c r="D327" s="71"/>
      <c r="E327" s="72"/>
      <c r="F327" s="70"/>
      <c r="G327" s="72" t="str">
        <f t="shared" ca="1" si="10"/>
        <v/>
      </c>
      <c r="H327" s="72"/>
      <c r="I327" s="71"/>
      <c r="L327" s="55" t="str">
        <f t="shared" ca="1" si="11"/>
        <v>NE</v>
      </c>
    </row>
    <row r="328" spans="1:12" ht="27" thickBot="1">
      <c r="A328" s="72"/>
      <c r="B328" s="74"/>
      <c r="C328" s="71"/>
      <c r="D328" s="71"/>
      <c r="E328" s="72"/>
      <c r="F328" s="70"/>
      <c r="G328" s="72" t="str">
        <f t="shared" ca="1" si="10"/>
        <v/>
      </c>
      <c r="H328" s="72"/>
      <c r="I328" s="71"/>
      <c r="L328" s="55" t="str">
        <f t="shared" ca="1" si="11"/>
        <v>NE</v>
      </c>
    </row>
    <row r="329" spans="1:12" ht="27" thickBot="1">
      <c r="A329" s="72"/>
      <c r="B329" s="74"/>
      <c r="C329" s="71"/>
      <c r="D329" s="71"/>
      <c r="E329" s="72"/>
      <c r="F329" s="70"/>
      <c r="G329" s="72" t="str">
        <f t="shared" ca="1" si="10"/>
        <v/>
      </c>
      <c r="H329" s="72"/>
      <c r="I329" s="71"/>
      <c r="L329" s="55" t="str">
        <f t="shared" ca="1" si="11"/>
        <v>NE</v>
      </c>
    </row>
    <row r="330" spans="1:12" ht="27" thickBot="1">
      <c r="A330" s="72"/>
      <c r="B330" s="74"/>
      <c r="C330" s="71"/>
      <c r="D330" s="71"/>
      <c r="E330" s="72"/>
      <c r="F330" s="70"/>
      <c r="G330" s="72" t="str">
        <f t="shared" ca="1" si="10"/>
        <v/>
      </c>
      <c r="H330" s="72"/>
      <c r="I330" s="71"/>
      <c r="L330" s="55" t="str">
        <f t="shared" ca="1" si="11"/>
        <v>NE</v>
      </c>
    </row>
    <row r="331" spans="1:12" ht="27" thickBot="1">
      <c r="A331" s="72"/>
      <c r="B331" s="74"/>
      <c r="C331" s="71"/>
      <c r="D331" s="71"/>
      <c r="E331" s="72"/>
      <c r="F331" s="70"/>
      <c r="G331" s="72" t="str">
        <f t="shared" ca="1" si="10"/>
        <v/>
      </c>
      <c r="H331" s="72"/>
      <c r="I331" s="71"/>
      <c r="L331" s="55" t="str">
        <f t="shared" ca="1" si="11"/>
        <v>NE</v>
      </c>
    </row>
    <row r="332" spans="1:12" ht="27" thickBot="1">
      <c r="A332" s="72"/>
      <c r="B332" s="74"/>
      <c r="C332" s="71"/>
      <c r="D332" s="71"/>
      <c r="E332" s="72"/>
      <c r="F332" s="70"/>
      <c r="G332" s="72" t="str">
        <f t="shared" ca="1" si="10"/>
        <v/>
      </c>
      <c r="H332" s="72"/>
      <c r="I332" s="71"/>
      <c r="L332" s="55" t="str">
        <f t="shared" ca="1" si="11"/>
        <v>NE</v>
      </c>
    </row>
    <row r="333" spans="1:12" ht="27" thickBot="1">
      <c r="A333" s="72"/>
      <c r="B333" s="74"/>
      <c r="C333" s="71"/>
      <c r="D333" s="71"/>
      <c r="E333" s="72"/>
      <c r="F333" s="70"/>
      <c r="G333" s="72" t="str">
        <f t="shared" ca="1" si="10"/>
        <v/>
      </c>
      <c r="H333" s="72"/>
      <c r="I333" s="71"/>
      <c r="L333" s="55" t="str">
        <f t="shared" ca="1" si="11"/>
        <v>NE</v>
      </c>
    </row>
    <row r="334" spans="1:12" ht="27" thickBot="1">
      <c r="A334" s="72"/>
      <c r="B334" s="74"/>
      <c r="C334" s="71"/>
      <c r="D334" s="71"/>
      <c r="E334" s="72"/>
      <c r="F334" s="70"/>
      <c r="G334" s="72" t="str">
        <f t="shared" ca="1" si="10"/>
        <v/>
      </c>
      <c r="H334" s="72"/>
      <c r="I334" s="71"/>
      <c r="L334" s="55" t="str">
        <f t="shared" ca="1" si="11"/>
        <v>NE</v>
      </c>
    </row>
    <row r="335" spans="1:12" ht="27" thickBot="1">
      <c r="A335" s="72"/>
      <c r="B335" s="74"/>
      <c r="C335" s="71"/>
      <c r="D335" s="71"/>
      <c r="E335" s="72"/>
      <c r="F335" s="70"/>
      <c r="G335" s="72" t="str">
        <f t="shared" ca="1" si="10"/>
        <v/>
      </c>
      <c r="H335" s="72"/>
      <c r="I335" s="71"/>
      <c r="L335" s="55" t="str">
        <f t="shared" ca="1" si="11"/>
        <v>NE</v>
      </c>
    </row>
    <row r="336" spans="1:12" ht="27" thickBot="1">
      <c r="A336" s="72"/>
      <c r="B336" s="74"/>
      <c r="C336" s="71"/>
      <c r="D336" s="71"/>
      <c r="E336" s="72"/>
      <c r="F336" s="70"/>
      <c r="G336" s="72" t="str">
        <f t="shared" ca="1" si="10"/>
        <v/>
      </c>
      <c r="H336" s="72"/>
      <c r="I336" s="71"/>
      <c r="L336" s="55" t="str">
        <f t="shared" ca="1" si="11"/>
        <v>NE</v>
      </c>
    </row>
    <row r="337" spans="1:12" ht="27" thickBot="1">
      <c r="A337" s="72"/>
      <c r="B337" s="74"/>
      <c r="C337" s="71"/>
      <c r="D337" s="71"/>
      <c r="E337" s="72"/>
      <c r="F337" s="70"/>
      <c r="G337" s="72" t="str">
        <f t="shared" ca="1" si="10"/>
        <v/>
      </c>
      <c r="H337" s="72"/>
      <c r="I337" s="71"/>
      <c r="L337" s="55" t="str">
        <f t="shared" ca="1" si="11"/>
        <v>NE</v>
      </c>
    </row>
    <row r="338" spans="1:12" ht="27" thickBot="1">
      <c r="A338" s="72"/>
      <c r="B338" s="74"/>
      <c r="C338" s="71"/>
      <c r="D338" s="71"/>
      <c r="E338" s="72"/>
      <c r="F338" s="70"/>
      <c r="G338" s="72" t="str">
        <f t="shared" ca="1" si="10"/>
        <v/>
      </c>
      <c r="H338" s="72"/>
      <c r="I338" s="71"/>
      <c r="L338" s="55" t="str">
        <f t="shared" ca="1" si="11"/>
        <v>NE</v>
      </c>
    </row>
    <row r="339" spans="1:12" ht="27" thickBot="1">
      <c r="A339" s="72"/>
      <c r="B339" s="74"/>
      <c r="C339" s="71"/>
      <c r="D339" s="71"/>
      <c r="E339" s="72"/>
      <c r="F339" s="70"/>
      <c r="G339" s="72" t="str">
        <f t="shared" ca="1" si="10"/>
        <v/>
      </c>
      <c r="H339" s="72"/>
      <c r="I339" s="71"/>
      <c r="L339" s="55" t="str">
        <f t="shared" ca="1" si="11"/>
        <v>NE</v>
      </c>
    </row>
    <row r="340" spans="1:12" ht="27" thickBot="1">
      <c r="A340" s="72"/>
      <c r="B340" s="74"/>
      <c r="C340" s="71"/>
      <c r="D340" s="71"/>
      <c r="E340" s="72"/>
      <c r="F340" s="70"/>
      <c r="G340" s="72" t="str">
        <f t="shared" ca="1" si="10"/>
        <v/>
      </c>
      <c r="H340" s="72"/>
      <c r="I340" s="71"/>
      <c r="L340" s="55" t="str">
        <f t="shared" ca="1" si="11"/>
        <v>NE</v>
      </c>
    </row>
    <row r="341" spans="1:12" ht="27" thickBot="1">
      <c r="A341" s="72"/>
      <c r="B341" s="74"/>
      <c r="C341" s="71"/>
      <c r="D341" s="71"/>
      <c r="E341" s="72"/>
      <c r="F341" s="70"/>
      <c r="G341" s="72" t="str">
        <f t="shared" ca="1" si="10"/>
        <v/>
      </c>
      <c r="H341" s="72"/>
      <c r="I341" s="71"/>
      <c r="L341" s="55" t="str">
        <f t="shared" ca="1" si="11"/>
        <v>NE</v>
      </c>
    </row>
    <row r="342" spans="1:12" ht="27" thickBot="1">
      <c r="A342" s="72"/>
      <c r="B342" s="74"/>
      <c r="C342" s="71"/>
      <c r="D342" s="71"/>
      <c r="E342" s="72"/>
      <c r="F342" s="70"/>
      <c r="G342" s="72" t="str">
        <f t="shared" ca="1" si="10"/>
        <v/>
      </c>
      <c r="H342" s="72"/>
      <c r="I342" s="71"/>
      <c r="L342" s="55" t="str">
        <f t="shared" ca="1" si="11"/>
        <v>NE</v>
      </c>
    </row>
    <row r="343" spans="1:12" ht="27" thickBot="1">
      <c r="A343" s="72"/>
      <c r="B343" s="74"/>
      <c r="C343" s="71"/>
      <c r="D343" s="71"/>
      <c r="E343" s="72"/>
      <c r="F343" s="70"/>
      <c r="G343" s="72" t="str">
        <f t="shared" ca="1" si="10"/>
        <v/>
      </c>
      <c r="H343" s="72"/>
      <c r="I343" s="71"/>
      <c r="L343" s="55" t="str">
        <f t="shared" ca="1" si="11"/>
        <v>NE</v>
      </c>
    </row>
    <row r="344" spans="1:12" ht="27" thickBot="1">
      <c r="A344" s="72"/>
      <c r="B344" s="74"/>
      <c r="C344" s="71"/>
      <c r="D344" s="71"/>
      <c r="E344" s="72"/>
      <c r="F344" s="70"/>
      <c r="G344" s="72" t="str">
        <f t="shared" ca="1" si="10"/>
        <v/>
      </c>
      <c r="H344" s="72"/>
      <c r="I344" s="71"/>
      <c r="L344" s="55" t="str">
        <f t="shared" ca="1" si="11"/>
        <v>NE</v>
      </c>
    </row>
    <row r="345" spans="1:12" ht="27" thickBot="1">
      <c r="A345" s="72"/>
      <c r="B345" s="74"/>
      <c r="C345" s="71"/>
      <c r="D345" s="71"/>
      <c r="E345" s="72"/>
      <c r="F345" s="70"/>
      <c r="G345" s="72" t="str">
        <f t="shared" ca="1" si="10"/>
        <v/>
      </c>
      <c r="H345" s="72"/>
      <c r="I345" s="71"/>
      <c r="L345" s="55" t="str">
        <f t="shared" ca="1" si="11"/>
        <v>NE</v>
      </c>
    </row>
    <row r="346" spans="1:12" ht="27" thickBot="1">
      <c r="A346" s="72"/>
      <c r="B346" s="74"/>
      <c r="C346" s="71"/>
      <c r="D346" s="71"/>
      <c r="E346" s="72"/>
      <c r="F346" s="70"/>
      <c r="G346" s="72" t="str">
        <f t="shared" ca="1" si="10"/>
        <v/>
      </c>
      <c r="H346" s="72"/>
      <c r="I346" s="71"/>
      <c r="L346" s="55" t="str">
        <f t="shared" ca="1" si="11"/>
        <v>NE</v>
      </c>
    </row>
    <row r="347" spans="1:12" ht="27" thickBot="1">
      <c r="A347" s="72"/>
      <c r="B347" s="74"/>
      <c r="C347" s="71"/>
      <c r="D347" s="71"/>
      <c r="E347" s="72"/>
      <c r="F347" s="70"/>
      <c r="G347" s="72" t="str">
        <f t="shared" ca="1" si="10"/>
        <v/>
      </c>
      <c r="H347" s="72"/>
      <c r="I347" s="71"/>
      <c r="L347" s="55" t="str">
        <f t="shared" ca="1" si="11"/>
        <v>NE</v>
      </c>
    </row>
    <row r="348" spans="1:12" ht="27" thickBot="1">
      <c r="A348" s="72"/>
      <c r="B348" s="74"/>
      <c r="C348" s="71"/>
      <c r="D348" s="71"/>
      <c r="E348" s="72"/>
      <c r="F348" s="70"/>
      <c r="G348" s="72" t="str">
        <f t="shared" ca="1" si="10"/>
        <v/>
      </c>
      <c r="H348" s="72"/>
      <c r="I348" s="71"/>
      <c r="L348" s="55" t="str">
        <f t="shared" ca="1" si="11"/>
        <v>NE</v>
      </c>
    </row>
    <row r="349" spans="1:12" ht="27" thickBot="1">
      <c r="A349" s="72"/>
      <c r="B349" s="74"/>
      <c r="C349" s="71"/>
      <c r="D349" s="71"/>
      <c r="E349" s="72"/>
      <c r="F349" s="70"/>
      <c r="G349" s="72" t="str">
        <f t="shared" ca="1" si="10"/>
        <v/>
      </c>
      <c r="H349" s="72"/>
      <c r="I349" s="71"/>
      <c r="L349" s="55" t="str">
        <f t="shared" ca="1" si="11"/>
        <v>NE</v>
      </c>
    </row>
    <row r="350" spans="1:12" ht="27" thickBot="1">
      <c r="A350" s="72"/>
      <c r="B350" s="74"/>
      <c r="C350" s="71"/>
      <c r="D350" s="71"/>
      <c r="E350" s="72"/>
      <c r="F350" s="70"/>
      <c r="G350" s="72" t="str">
        <f t="shared" ca="1" si="10"/>
        <v/>
      </c>
      <c r="H350" s="72"/>
      <c r="I350" s="71"/>
      <c r="L350" s="55" t="str">
        <f t="shared" ca="1" si="11"/>
        <v>NE</v>
      </c>
    </row>
    <row r="351" spans="1:12" ht="27" thickBot="1">
      <c r="A351" s="72"/>
      <c r="B351" s="74"/>
      <c r="C351" s="71"/>
      <c r="D351" s="71"/>
      <c r="E351" s="72"/>
      <c r="F351" s="70"/>
      <c r="G351" s="72" t="str">
        <f t="shared" ca="1" si="10"/>
        <v/>
      </c>
      <c r="H351" s="72"/>
      <c r="I351" s="71"/>
      <c r="L351" s="55" t="str">
        <f t="shared" ca="1" si="11"/>
        <v>NE</v>
      </c>
    </row>
    <row r="352" spans="1:12" ht="27" thickBot="1">
      <c r="A352" s="72"/>
      <c r="B352" s="74"/>
      <c r="C352" s="71"/>
      <c r="D352" s="71"/>
      <c r="E352" s="72"/>
      <c r="F352" s="70"/>
      <c r="G352" s="72" t="str">
        <f t="shared" ca="1" si="10"/>
        <v/>
      </c>
      <c r="H352" s="72"/>
      <c r="I352" s="71"/>
      <c r="L352" s="55" t="str">
        <f t="shared" ca="1" si="11"/>
        <v>NE</v>
      </c>
    </row>
    <row r="353" spans="1:12" ht="27" thickBot="1">
      <c r="A353" s="72"/>
      <c r="B353" s="74"/>
      <c r="C353" s="71"/>
      <c r="D353" s="71"/>
      <c r="E353" s="72"/>
      <c r="F353" s="70"/>
      <c r="G353" s="72" t="str">
        <f t="shared" ca="1" si="10"/>
        <v/>
      </c>
      <c r="H353" s="72"/>
      <c r="I353" s="71"/>
      <c r="L353" s="55" t="str">
        <f t="shared" ca="1" si="11"/>
        <v>NE</v>
      </c>
    </row>
    <row r="354" spans="1:12" ht="27" thickBot="1">
      <c r="A354" s="72"/>
      <c r="B354" s="74"/>
      <c r="C354" s="71"/>
      <c r="D354" s="71"/>
      <c r="E354" s="72"/>
      <c r="F354" s="70"/>
      <c r="G354" s="72" t="str">
        <f t="shared" ca="1" si="10"/>
        <v/>
      </c>
      <c r="H354" s="72"/>
      <c r="I354" s="71"/>
      <c r="L354" s="55" t="str">
        <f t="shared" ca="1" si="11"/>
        <v>NE</v>
      </c>
    </row>
    <row r="355" spans="1:12" ht="27" thickBot="1">
      <c r="A355" s="72"/>
      <c r="B355" s="74"/>
      <c r="C355" s="71"/>
      <c r="D355" s="71"/>
      <c r="E355" s="72"/>
      <c r="F355" s="70"/>
      <c r="G355" s="72" t="str">
        <f t="shared" ca="1" si="10"/>
        <v/>
      </c>
      <c r="H355" s="72"/>
      <c r="I355" s="71"/>
      <c r="L355" s="55" t="str">
        <f t="shared" ca="1" si="11"/>
        <v>NE</v>
      </c>
    </row>
    <row r="356" spans="1:12" ht="27" thickBot="1">
      <c r="A356" s="72"/>
      <c r="B356" s="74"/>
      <c r="C356" s="71"/>
      <c r="D356" s="71"/>
      <c r="E356" s="72"/>
      <c r="F356" s="70"/>
      <c r="G356" s="72" t="str">
        <f t="shared" ca="1" si="10"/>
        <v/>
      </c>
      <c r="H356" s="72"/>
      <c r="I356" s="71"/>
      <c r="L356" s="55" t="str">
        <f t="shared" ca="1" si="11"/>
        <v>NE</v>
      </c>
    </row>
    <row r="357" spans="1:12" ht="27" thickBot="1">
      <c r="A357" s="72"/>
      <c r="B357" s="74"/>
      <c r="C357" s="71"/>
      <c r="D357" s="71"/>
      <c r="E357" s="72"/>
      <c r="F357" s="70"/>
      <c r="G357" s="72" t="str">
        <f t="shared" ca="1" si="10"/>
        <v/>
      </c>
      <c r="H357" s="72"/>
      <c r="I357" s="71"/>
      <c r="L357" s="55" t="str">
        <f t="shared" ca="1" si="11"/>
        <v>NE</v>
      </c>
    </row>
    <row r="358" spans="1:12" ht="27" thickBot="1">
      <c r="A358" s="72"/>
      <c r="B358" s="74"/>
      <c r="C358" s="71"/>
      <c r="D358" s="71"/>
      <c r="E358" s="72"/>
      <c r="F358" s="70"/>
      <c r="G358" s="72" t="str">
        <f t="shared" ca="1" si="10"/>
        <v/>
      </c>
      <c r="H358" s="72"/>
      <c r="I358" s="71"/>
      <c r="L358" s="55" t="str">
        <f t="shared" ca="1" si="11"/>
        <v>NE</v>
      </c>
    </row>
    <row r="359" spans="1:12" ht="27" thickBot="1">
      <c r="A359" s="72"/>
      <c r="B359" s="74"/>
      <c r="C359" s="71"/>
      <c r="D359" s="71"/>
      <c r="E359" s="72"/>
      <c r="F359" s="70"/>
      <c r="G359" s="72" t="str">
        <f t="shared" ca="1" si="10"/>
        <v/>
      </c>
      <c r="H359" s="72"/>
      <c r="I359" s="71"/>
      <c r="L359" s="55" t="str">
        <f t="shared" ca="1" si="11"/>
        <v>NE</v>
      </c>
    </row>
    <row r="360" spans="1:12" ht="27" thickBot="1">
      <c r="A360" s="72"/>
      <c r="B360" s="74"/>
      <c r="C360" s="71"/>
      <c r="D360" s="71"/>
      <c r="E360" s="72"/>
      <c r="F360" s="70"/>
      <c r="G360" s="72" t="str">
        <f t="shared" ca="1" si="10"/>
        <v/>
      </c>
      <c r="H360" s="72"/>
      <c r="I360" s="71"/>
      <c r="L360" s="55" t="str">
        <f t="shared" ca="1" si="11"/>
        <v>NE</v>
      </c>
    </row>
    <row r="361" spans="1:12" ht="27" thickBot="1">
      <c r="A361" s="72"/>
      <c r="B361" s="74"/>
      <c r="C361" s="71"/>
      <c r="D361" s="71"/>
      <c r="E361" s="72"/>
      <c r="F361" s="70"/>
      <c r="G361" s="72" t="str">
        <f t="shared" ca="1" si="10"/>
        <v/>
      </c>
      <c r="H361" s="72"/>
      <c r="I361" s="71"/>
      <c r="L361" s="55" t="str">
        <f t="shared" ca="1" si="11"/>
        <v>NE</v>
      </c>
    </row>
    <row r="362" spans="1:12" ht="27" thickBot="1">
      <c r="A362" s="72"/>
      <c r="B362" s="74"/>
      <c r="C362" s="71"/>
      <c r="D362" s="71"/>
      <c r="E362" s="72"/>
      <c r="F362" s="70"/>
      <c r="G362" s="72" t="str">
        <f t="shared" ca="1" si="10"/>
        <v/>
      </c>
      <c r="H362" s="72"/>
      <c r="I362" s="71"/>
      <c r="L362" s="55" t="str">
        <f t="shared" ca="1" si="11"/>
        <v>NE</v>
      </c>
    </row>
    <row r="363" spans="1:12" ht="27" thickBot="1">
      <c r="A363" s="72"/>
      <c r="B363" s="74"/>
      <c r="C363" s="71"/>
      <c r="D363" s="71"/>
      <c r="E363" s="72"/>
      <c r="F363" s="70"/>
      <c r="G363" s="72" t="str">
        <f t="shared" ca="1" si="10"/>
        <v/>
      </c>
      <c r="H363" s="72"/>
      <c r="I363" s="71"/>
      <c r="L363" s="55" t="str">
        <f t="shared" ca="1" si="11"/>
        <v>NE</v>
      </c>
    </row>
    <row r="364" spans="1:12" ht="27" thickBot="1">
      <c r="A364" s="72"/>
      <c r="B364" s="74"/>
      <c r="C364" s="71"/>
      <c r="D364" s="71"/>
      <c r="E364" s="72"/>
      <c r="F364" s="70"/>
      <c r="G364" s="72" t="str">
        <f t="shared" ca="1" si="10"/>
        <v/>
      </c>
      <c r="H364" s="72"/>
      <c r="I364" s="71"/>
      <c r="L364" s="55" t="str">
        <f t="shared" ca="1" si="11"/>
        <v>NE</v>
      </c>
    </row>
    <row r="365" spans="1:12" ht="27" thickBot="1">
      <c r="A365" s="72"/>
      <c r="B365" s="74"/>
      <c r="C365" s="71"/>
      <c r="D365" s="71"/>
      <c r="E365" s="72"/>
      <c r="F365" s="70"/>
      <c r="G365" s="72" t="str">
        <f t="shared" ca="1" si="10"/>
        <v/>
      </c>
      <c r="H365" s="72"/>
      <c r="I365" s="71"/>
      <c r="L365" s="55" t="str">
        <f t="shared" ca="1" si="11"/>
        <v>NE</v>
      </c>
    </row>
    <row r="366" spans="1:12" ht="27" thickBot="1">
      <c r="A366" s="72"/>
      <c r="B366" s="74"/>
      <c r="C366" s="71"/>
      <c r="D366" s="71"/>
      <c r="E366" s="72"/>
      <c r="F366" s="70"/>
      <c r="G366" s="72" t="str">
        <f t="shared" ref="G366:G429" ca="1" si="12">IF(ISBLANK(F366),"",IF(F366&gt;=TODAY(), "Non Echue", "Echue"))</f>
        <v/>
      </c>
      <c r="H366" s="72"/>
      <c r="I366" s="71"/>
      <c r="L366" s="55" t="str">
        <f t="shared" ref="L366:L429" ca="1" si="13" xml:space="preserve"> IF(G366 = "Echue",IF(H366 = "Appliqué","EAP","NAP"),"NE")</f>
        <v>NE</v>
      </c>
    </row>
    <row r="367" spans="1:12" ht="27" thickBot="1">
      <c r="A367" s="72"/>
      <c r="B367" s="74"/>
      <c r="C367" s="71"/>
      <c r="D367" s="71"/>
      <c r="E367" s="72"/>
      <c r="F367" s="70"/>
      <c r="G367" s="72" t="str">
        <f t="shared" ca="1" si="12"/>
        <v/>
      </c>
      <c r="H367" s="72"/>
      <c r="I367" s="71"/>
      <c r="L367" s="55" t="str">
        <f t="shared" ca="1" si="13"/>
        <v>NE</v>
      </c>
    </row>
    <row r="368" spans="1:12" ht="27" thickBot="1">
      <c r="A368" s="72"/>
      <c r="B368" s="74"/>
      <c r="C368" s="71"/>
      <c r="D368" s="71"/>
      <c r="E368" s="72"/>
      <c r="F368" s="70"/>
      <c r="G368" s="72" t="str">
        <f t="shared" ca="1" si="12"/>
        <v/>
      </c>
      <c r="H368" s="72"/>
      <c r="I368" s="71"/>
      <c r="L368" s="55" t="str">
        <f t="shared" ca="1" si="13"/>
        <v>NE</v>
      </c>
    </row>
    <row r="369" spans="1:12" ht="27" thickBot="1">
      <c r="A369" s="72"/>
      <c r="B369" s="74"/>
      <c r="C369" s="71"/>
      <c r="D369" s="71"/>
      <c r="E369" s="72"/>
      <c r="F369" s="70"/>
      <c r="G369" s="72" t="str">
        <f t="shared" ca="1" si="12"/>
        <v/>
      </c>
      <c r="H369" s="72"/>
      <c r="I369" s="71"/>
      <c r="L369" s="55" t="str">
        <f t="shared" ca="1" si="13"/>
        <v>NE</v>
      </c>
    </row>
    <row r="370" spans="1:12" ht="27" thickBot="1">
      <c r="A370" s="72"/>
      <c r="B370" s="74"/>
      <c r="C370" s="71"/>
      <c r="D370" s="71"/>
      <c r="E370" s="72"/>
      <c r="F370" s="70"/>
      <c r="G370" s="72" t="str">
        <f t="shared" ca="1" si="12"/>
        <v/>
      </c>
      <c r="H370" s="72"/>
      <c r="I370" s="71"/>
      <c r="L370" s="55" t="str">
        <f t="shared" ca="1" si="13"/>
        <v>NE</v>
      </c>
    </row>
    <row r="371" spans="1:12" ht="27" thickBot="1">
      <c r="A371" s="72"/>
      <c r="B371" s="74"/>
      <c r="C371" s="71"/>
      <c r="D371" s="71"/>
      <c r="E371" s="72"/>
      <c r="F371" s="70"/>
      <c r="G371" s="72" t="str">
        <f t="shared" ca="1" si="12"/>
        <v/>
      </c>
      <c r="H371" s="72"/>
      <c r="I371" s="71"/>
      <c r="L371" s="55" t="str">
        <f t="shared" ca="1" si="13"/>
        <v>NE</v>
      </c>
    </row>
    <row r="372" spans="1:12" ht="27" thickBot="1">
      <c r="A372" s="72"/>
      <c r="B372" s="74"/>
      <c r="C372" s="71"/>
      <c r="D372" s="71"/>
      <c r="E372" s="72"/>
      <c r="F372" s="70"/>
      <c r="G372" s="72" t="str">
        <f t="shared" ca="1" si="12"/>
        <v/>
      </c>
      <c r="H372" s="72"/>
      <c r="I372" s="71"/>
      <c r="L372" s="55" t="str">
        <f t="shared" ca="1" si="13"/>
        <v>NE</v>
      </c>
    </row>
    <row r="373" spans="1:12" ht="27" thickBot="1">
      <c r="A373" s="72"/>
      <c r="B373" s="74"/>
      <c r="C373" s="71"/>
      <c r="D373" s="71"/>
      <c r="E373" s="72"/>
      <c r="F373" s="70"/>
      <c r="G373" s="72" t="str">
        <f t="shared" ca="1" si="12"/>
        <v/>
      </c>
      <c r="H373" s="72"/>
      <c r="I373" s="71"/>
      <c r="L373" s="55" t="str">
        <f t="shared" ca="1" si="13"/>
        <v>NE</v>
      </c>
    </row>
    <row r="374" spans="1:12" ht="27" thickBot="1">
      <c r="A374" s="72"/>
      <c r="B374" s="74"/>
      <c r="C374" s="71"/>
      <c r="D374" s="71"/>
      <c r="E374" s="72"/>
      <c r="F374" s="70"/>
      <c r="G374" s="72" t="str">
        <f t="shared" ca="1" si="12"/>
        <v/>
      </c>
      <c r="H374" s="72"/>
      <c r="I374" s="71"/>
      <c r="L374" s="55" t="str">
        <f t="shared" ca="1" si="13"/>
        <v>NE</v>
      </c>
    </row>
    <row r="375" spans="1:12" ht="27" thickBot="1">
      <c r="A375" s="72"/>
      <c r="B375" s="74"/>
      <c r="C375" s="71"/>
      <c r="D375" s="71"/>
      <c r="E375" s="72"/>
      <c r="F375" s="70"/>
      <c r="G375" s="72" t="str">
        <f t="shared" ca="1" si="12"/>
        <v/>
      </c>
      <c r="H375" s="72"/>
      <c r="I375" s="71"/>
      <c r="L375" s="55" t="str">
        <f t="shared" ca="1" si="13"/>
        <v>NE</v>
      </c>
    </row>
    <row r="376" spans="1:12" ht="27" thickBot="1">
      <c r="A376" s="72"/>
      <c r="B376" s="74"/>
      <c r="C376" s="71"/>
      <c r="D376" s="71"/>
      <c r="E376" s="72"/>
      <c r="F376" s="70"/>
      <c r="G376" s="72" t="str">
        <f t="shared" ca="1" si="12"/>
        <v/>
      </c>
      <c r="H376" s="72"/>
      <c r="I376" s="71"/>
      <c r="L376" s="55" t="str">
        <f t="shared" ca="1" si="13"/>
        <v>NE</v>
      </c>
    </row>
    <row r="377" spans="1:12" ht="27" thickBot="1">
      <c r="A377" s="72"/>
      <c r="B377" s="74"/>
      <c r="C377" s="71"/>
      <c r="D377" s="71"/>
      <c r="E377" s="72"/>
      <c r="F377" s="70"/>
      <c r="G377" s="72" t="str">
        <f t="shared" ca="1" si="12"/>
        <v/>
      </c>
      <c r="H377" s="72"/>
      <c r="I377" s="71"/>
      <c r="L377" s="55" t="str">
        <f t="shared" ca="1" si="13"/>
        <v>NE</v>
      </c>
    </row>
    <row r="378" spans="1:12" ht="27" thickBot="1">
      <c r="A378" s="72"/>
      <c r="B378" s="74"/>
      <c r="C378" s="71"/>
      <c r="D378" s="71"/>
      <c r="E378" s="72"/>
      <c r="F378" s="70"/>
      <c r="G378" s="72" t="str">
        <f t="shared" ca="1" si="12"/>
        <v/>
      </c>
      <c r="H378" s="72"/>
      <c r="I378" s="71"/>
      <c r="L378" s="55" t="str">
        <f t="shared" ca="1" si="13"/>
        <v>NE</v>
      </c>
    </row>
    <row r="379" spans="1:12" ht="27" thickBot="1">
      <c r="A379" s="72"/>
      <c r="B379" s="74"/>
      <c r="C379" s="71"/>
      <c r="D379" s="71"/>
      <c r="E379" s="72"/>
      <c r="F379" s="70"/>
      <c r="G379" s="72" t="str">
        <f t="shared" ca="1" si="12"/>
        <v/>
      </c>
      <c r="H379" s="72"/>
      <c r="I379" s="71"/>
      <c r="L379" s="55" t="str">
        <f t="shared" ca="1" si="13"/>
        <v>NE</v>
      </c>
    </row>
    <row r="380" spans="1:12" ht="27" thickBot="1">
      <c r="A380" s="72"/>
      <c r="B380" s="74"/>
      <c r="C380" s="71"/>
      <c r="D380" s="71"/>
      <c r="E380" s="72"/>
      <c r="F380" s="70"/>
      <c r="G380" s="72" t="str">
        <f t="shared" ca="1" si="12"/>
        <v/>
      </c>
      <c r="H380" s="72"/>
      <c r="I380" s="71"/>
      <c r="L380" s="55" t="str">
        <f t="shared" ca="1" si="13"/>
        <v>NE</v>
      </c>
    </row>
    <row r="381" spans="1:12" ht="27" thickBot="1">
      <c r="A381" s="72"/>
      <c r="B381" s="74"/>
      <c r="C381" s="71"/>
      <c r="D381" s="71"/>
      <c r="E381" s="72"/>
      <c r="F381" s="70"/>
      <c r="G381" s="72" t="str">
        <f t="shared" ca="1" si="12"/>
        <v/>
      </c>
      <c r="H381" s="72"/>
      <c r="I381" s="71"/>
      <c r="L381" s="55" t="str">
        <f t="shared" ca="1" si="13"/>
        <v>NE</v>
      </c>
    </row>
    <row r="382" spans="1:12" ht="27" thickBot="1">
      <c r="A382" s="72"/>
      <c r="B382" s="74"/>
      <c r="C382" s="71"/>
      <c r="D382" s="71"/>
      <c r="E382" s="72"/>
      <c r="F382" s="70"/>
      <c r="G382" s="72" t="str">
        <f t="shared" ca="1" si="12"/>
        <v/>
      </c>
      <c r="H382" s="72"/>
      <c r="I382" s="71"/>
      <c r="L382" s="55" t="str">
        <f t="shared" ca="1" si="13"/>
        <v>NE</v>
      </c>
    </row>
    <row r="383" spans="1:12" ht="27" thickBot="1">
      <c r="A383" s="72"/>
      <c r="B383" s="74"/>
      <c r="C383" s="71"/>
      <c r="D383" s="71"/>
      <c r="E383" s="72"/>
      <c r="F383" s="70"/>
      <c r="G383" s="72" t="str">
        <f t="shared" ca="1" si="12"/>
        <v/>
      </c>
      <c r="H383" s="72"/>
      <c r="I383" s="71"/>
      <c r="L383" s="55" t="str">
        <f t="shared" ca="1" si="13"/>
        <v>NE</v>
      </c>
    </row>
    <row r="384" spans="1:12" ht="27" thickBot="1">
      <c r="A384" s="72"/>
      <c r="B384" s="74"/>
      <c r="C384" s="71"/>
      <c r="D384" s="71"/>
      <c r="E384" s="72"/>
      <c r="F384" s="70"/>
      <c r="G384" s="72" t="str">
        <f t="shared" ca="1" si="12"/>
        <v/>
      </c>
      <c r="H384" s="72"/>
      <c r="I384" s="71"/>
      <c r="L384" s="55" t="str">
        <f t="shared" ca="1" si="13"/>
        <v>NE</v>
      </c>
    </row>
    <row r="385" spans="1:12" ht="27" thickBot="1">
      <c r="A385" s="72"/>
      <c r="B385" s="74"/>
      <c r="C385" s="71"/>
      <c r="D385" s="71"/>
      <c r="E385" s="72"/>
      <c r="F385" s="70"/>
      <c r="G385" s="72" t="str">
        <f t="shared" ca="1" si="12"/>
        <v/>
      </c>
      <c r="H385" s="72"/>
      <c r="I385" s="71"/>
      <c r="L385" s="55" t="str">
        <f t="shared" ca="1" si="13"/>
        <v>NE</v>
      </c>
    </row>
    <row r="386" spans="1:12" ht="27" thickBot="1">
      <c r="A386" s="72"/>
      <c r="B386" s="74"/>
      <c r="C386" s="71"/>
      <c r="D386" s="71"/>
      <c r="E386" s="72"/>
      <c r="F386" s="70"/>
      <c r="G386" s="72" t="str">
        <f t="shared" ca="1" si="12"/>
        <v/>
      </c>
      <c r="H386" s="72"/>
      <c r="I386" s="71"/>
      <c r="L386" s="55" t="str">
        <f t="shared" ca="1" si="13"/>
        <v>NE</v>
      </c>
    </row>
    <row r="387" spans="1:12" ht="27" thickBot="1">
      <c r="A387" s="72"/>
      <c r="B387" s="74"/>
      <c r="C387" s="71"/>
      <c r="D387" s="71"/>
      <c r="E387" s="72"/>
      <c r="F387" s="70"/>
      <c r="G387" s="72" t="str">
        <f t="shared" ca="1" si="12"/>
        <v/>
      </c>
      <c r="H387" s="72"/>
      <c r="I387" s="71"/>
      <c r="L387" s="55" t="str">
        <f t="shared" ca="1" si="13"/>
        <v>NE</v>
      </c>
    </row>
    <row r="388" spans="1:12" ht="27" thickBot="1">
      <c r="A388" s="72"/>
      <c r="B388" s="74"/>
      <c r="C388" s="71"/>
      <c r="D388" s="71"/>
      <c r="E388" s="72"/>
      <c r="F388" s="70"/>
      <c r="G388" s="72" t="str">
        <f t="shared" ca="1" si="12"/>
        <v/>
      </c>
      <c r="H388" s="72"/>
      <c r="I388" s="71"/>
      <c r="L388" s="55" t="str">
        <f t="shared" ca="1" si="13"/>
        <v>NE</v>
      </c>
    </row>
    <row r="389" spans="1:12" ht="27" thickBot="1">
      <c r="A389" s="72"/>
      <c r="B389" s="74"/>
      <c r="C389" s="71"/>
      <c r="D389" s="71"/>
      <c r="E389" s="72"/>
      <c r="F389" s="70"/>
      <c r="G389" s="72" t="str">
        <f t="shared" ca="1" si="12"/>
        <v/>
      </c>
      <c r="H389" s="72"/>
      <c r="I389" s="71"/>
      <c r="L389" s="55" t="str">
        <f t="shared" ca="1" si="13"/>
        <v>NE</v>
      </c>
    </row>
    <row r="390" spans="1:12" ht="27" thickBot="1">
      <c r="A390" s="72"/>
      <c r="B390" s="74"/>
      <c r="C390" s="71"/>
      <c r="D390" s="71"/>
      <c r="E390" s="72"/>
      <c r="F390" s="70"/>
      <c r="G390" s="72" t="str">
        <f t="shared" ca="1" si="12"/>
        <v/>
      </c>
      <c r="H390" s="72"/>
      <c r="I390" s="71"/>
      <c r="L390" s="55" t="str">
        <f t="shared" ca="1" si="13"/>
        <v>NE</v>
      </c>
    </row>
    <row r="391" spans="1:12" ht="27" thickBot="1">
      <c r="A391" s="72"/>
      <c r="B391" s="74"/>
      <c r="C391" s="71"/>
      <c r="D391" s="71"/>
      <c r="E391" s="72"/>
      <c r="F391" s="70"/>
      <c r="G391" s="72" t="str">
        <f t="shared" ca="1" si="12"/>
        <v/>
      </c>
      <c r="H391" s="72"/>
      <c r="I391" s="71"/>
      <c r="L391" s="55" t="str">
        <f t="shared" ca="1" si="13"/>
        <v>NE</v>
      </c>
    </row>
    <row r="392" spans="1:12" ht="27" thickBot="1">
      <c r="A392" s="72"/>
      <c r="B392" s="74"/>
      <c r="C392" s="71"/>
      <c r="D392" s="71"/>
      <c r="E392" s="72"/>
      <c r="F392" s="70"/>
      <c r="G392" s="72" t="str">
        <f t="shared" ca="1" si="12"/>
        <v/>
      </c>
      <c r="H392" s="72"/>
      <c r="I392" s="71"/>
      <c r="L392" s="55" t="str">
        <f t="shared" ca="1" si="13"/>
        <v>NE</v>
      </c>
    </row>
    <row r="393" spans="1:12" ht="27" thickBot="1">
      <c r="A393" s="72"/>
      <c r="B393" s="74"/>
      <c r="C393" s="71"/>
      <c r="D393" s="71"/>
      <c r="E393" s="72"/>
      <c r="F393" s="70"/>
      <c r="G393" s="72" t="str">
        <f t="shared" ca="1" si="12"/>
        <v/>
      </c>
      <c r="H393" s="72"/>
      <c r="I393" s="71"/>
      <c r="L393" s="55" t="str">
        <f t="shared" ca="1" si="13"/>
        <v>NE</v>
      </c>
    </row>
    <row r="394" spans="1:12" ht="27" thickBot="1">
      <c r="A394" s="72"/>
      <c r="B394" s="74"/>
      <c r="C394" s="71"/>
      <c r="D394" s="71"/>
      <c r="E394" s="72"/>
      <c r="F394" s="70"/>
      <c r="G394" s="72" t="str">
        <f t="shared" ca="1" si="12"/>
        <v/>
      </c>
      <c r="H394" s="72"/>
      <c r="I394" s="71"/>
      <c r="L394" s="55" t="str">
        <f t="shared" ca="1" si="13"/>
        <v>NE</v>
      </c>
    </row>
    <row r="395" spans="1:12" ht="27" thickBot="1">
      <c r="A395" s="72"/>
      <c r="B395" s="74"/>
      <c r="C395" s="71"/>
      <c r="D395" s="71"/>
      <c r="E395" s="72"/>
      <c r="F395" s="70"/>
      <c r="G395" s="72" t="str">
        <f t="shared" ca="1" si="12"/>
        <v/>
      </c>
      <c r="H395" s="72"/>
      <c r="I395" s="71"/>
      <c r="L395" s="55" t="str">
        <f t="shared" ca="1" si="13"/>
        <v>NE</v>
      </c>
    </row>
    <row r="396" spans="1:12" ht="27" thickBot="1">
      <c r="A396" s="72"/>
      <c r="B396" s="74"/>
      <c r="C396" s="71"/>
      <c r="D396" s="71"/>
      <c r="E396" s="72"/>
      <c r="F396" s="70"/>
      <c r="G396" s="72" t="str">
        <f t="shared" ca="1" si="12"/>
        <v/>
      </c>
      <c r="H396" s="72"/>
      <c r="I396" s="71"/>
      <c r="L396" s="55" t="str">
        <f t="shared" ca="1" si="13"/>
        <v>NE</v>
      </c>
    </row>
    <row r="397" spans="1:12" ht="27" thickBot="1">
      <c r="A397" s="72"/>
      <c r="B397" s="74"/>
      <c r="C397" s="71"/>
      <c r="D397" s="71"/>
      <c r="E397" s="72"/>
      <c r="F397" s="70"/>
      <c r="G397" s="72" t="str">
        <f t="shared" ca="1" si="12"/>
        <v/>
      </c>
      <c r="H397" s="72"/>
      <c r="I397" s="71"/>
      <c r="L397" s="55" t="str">
        <f t="shared" ca="1" si="13"/>
        <v>NE</v>
      </c>
    </row>
    <row r="398" spans="1:12" ht="27" thickBot="1">
      <c r="A398" s="72"/>
      <c r="B398" s="74"/>
      <c r="C398" s="71"/>
      <c r="D398" s="71"/>
      <c r="E398" s="72"/>
      <c r="F398" s="70"/>
      <c r="G398" s="72" t="str">
        <f t="shared" ca="1" si="12"/>
        <v/>
      </c>
      <c r="H398" s="72"/>
      <c r="I398" s="71"/>
      <c r="L398" s="55" t="str">
        <f t="shared" ca="1" si="13"/>
        <v>NE</v>
      </c>
    </row>
    <row r="399" spans="1:12" ht="27" thickBot="1">
      <c r="A399" s="72"/>
      <c r="B399" s="74"/>
      <c r="C399" s="71"/>
      <c r="D399" s="71"/>
      <c r="E399" s="72"/>
      <c r="F399" s="70"/>
      <c r="G399" s="72" t="str">
        <f t="shared" ca="1" si="12"/>
        <v/>
      </c>
      <c r="H399" s="72"/>
      <c r="I399" s="71"/>
      <c r="L399" s="55" t="str">
        <f t="shared" ca="1" si="13"/>
        <v>NE</v>
      </c>
    </row>
    <row r="400" spans="1:12" ht="27" thickBot="1">
      <c r="A400" s="72"/>
      <c r="B400" s="74"/>
      <c r="C400" s="71"/>
      <c r="D400" s="71"/>
      <c r="E400" s="72"/>
      <c r="F400" s="70"/>
      <c r="G400" s="72" t="str">
        <f t="shared" ca="1" si="12"/>
        <v/>
      </c>
      <c r="H400" s="72"/>
      <c r="I400" s="71"/>
      <c r="L400" s="55" t="str">
        <f t="shared" ca="1" si="13"/>
        <v>NE</v>
      </c>
    </row>
    <row r="401" spans="1:12" ht="27" thickBot="1">
      <c r="A401" s="72"/>
      <c r="B401" s="74"/>
      <c r="C401" s="71"/>
      <c r="D401" s="71"/>
      <c r="E401" s="72"/>
      <c r="F401" s="70"/>
      <c r="G401" s="72" t="str">
        <f t="shared" ca="1" si="12"/>
        <v/>
      </c>
      <c r="H401" s="72"/>
      <c r="I401" s="71"/>
      <c r="L401" s="55" t="str">
        <f t="shared" ca="1" si="13"/>
        <v>NE</v>
      </c>
    </row>
    <row r="402" spans="1:12" ht="27" thickBot="1">
      <c r="A402" s="72"/>
      <c r="B402" s="74"/>
      <c r="C402" s="71"/>
      <c r="D402" s="71"/>
      <c r="E402" s="72"/>
      <c r="F402" s="70"/>
      <c r="G402" s="72" t="str">
        <f t="shared" ca="1" si="12"/>
        <v/>
      </c>
      <c r="H402" s="72"/>
      <c r="I402" s="71"/>
      <c r="L402" s="55" t="str">
        <f t="shared" ca="1" si="13"/>
        <v>NE</v>
      </c>
    </row>
    <row r="403" spans="1:12" ht="27" thickBot="1">
      <c r="A403" s="72"/>
      <c r="B403" s="74"/>
      <c r="C403" s="71"/>
      <c r="D403" s="71"/>
      <c r="E403" s="72"/>
      <c r="F403" s="70"/>
      <c r="G403" s="72" t="str">
        <f t="shared" ca="1" si="12"/>
        <v/>
      </c>
      <c r="H403" s="72"/>
      <c r="I403" s="71"/>
      <c r="L403" s="55" t="str">
        <f t="shared" ca="1" si="13"/>
        <v>NE</v>
      </c>
    </row>
    <row r="404" spans="1:12" ht="27" thickBot="1">
      <c r="A404" s="72"/>
      <c r="B404" s="74"/>
      <c r="C404" s="71"/>
      <c r="D404" s="71"/>
      <c r="E404" s="72"/>
      <c r="F404" s="70"/>
      <c r="G404" s="72" t="str">
        <f t="shared" ca="1" si="12"/>
        <v/>
      </c>
      <c r="H404" s="72"/>
      <c r="I404" s="71"/>
      <c r="L404" s="55" t="str">
        <f t="shared" ca="1" si="13"/>
        <v>NE</v>
      </c>
    </row>
    <row r="405" spans="1:12" ht="27" thickBot="1">
      <c r="A405" s="72"/>
      <c r="B405" s="74"/>
      <c r="C405" s="71"/>
      <c r="D405" s="71"/>
      <c r="E405" s="72"/>
      <c r="F405" s="70"/>
      <c r="G405" s="72" t="str">
        <f t="shared" ca="1" si="12"/>
        <v/>
      </c>
      <c r="H405" s="72"/>
      <c r="I405" s="71"/>
      <c r="L405" s="55" t="str">
        <f t="shared" ca="1" si="13"/>
        <v>NE</v>
      </c>
    </row>
    <row r="406" spans="1:12" ht="27" thickBot="1">
      <c r="A406" s="72"/>
      <c r="B406" s="74"/>
      <c r="C406" s="71"/>
      <c r="D406" s="71"/>
      <c r="E406" s="72"/>
      <c r="F406" s="70"/>
      <c r="G406" s="72" t="str">
        <f t="shared" ca="1" si="12"/>
        <v/>
      </c>
      <c r="H406" s="72"/>
      <c r="I406" s="71"/>
      <c r="L406" s="55" t="str">
        <f t="shared" ca="1" si="13"/>
        <v>NE</v>
      </c>
    </row>
    <row r="407" spans="1:12" ht="27" thickBot="1">
      <c r="A407" s="72"/>
      <c r="B407" s="74"/>
      <c r="C407" s="71"/>
      <c r="D407" s="71"/>
      <c r="E407" s="72"/>
      <c r="F407" s="70"/>
      <c r="G407" s="72" t="str">
        <f t="shared" ca="1" si="12"/>
        <v/>
      </c>
      <c r="H407" s="72"/>
      <c r="I407" s="71"/>
      <c r="L407" s="55" t="str">
        <f t="shared" ca="1" si="13"/>
        <v>NE</v>
      </c>
    </row>
    <row r="408" spans="1:12" ht="27" thickBot="1">
      <c r="A408" s="72"/>
      <c r="B408" s="74"/>
      <c r="C408" s="71"/>
      <c r="D408" s="71"/>
      <c r="E408" s="72"/>
      <c r="F408" s="70"/>
      <c r="G408" s="72" t="str">
        <f t="shared" ca="1" si="12"/>
        <v/>
      </c>
      <c r="H408" s="72"/>
      <c r="I408" s="71"/>
      <c r="L408" s="55" t="str">
        <f t="shared" ca="1" si="13"/>
        <v>NE</v>
      </c>
    </row>
    <row r="409" spans="1:12" ht="27" thickBot="1">
      <c r="A409" s="72"/>
      <c r="B409" s="74"/>
      <c r="C409" s="71"/>
      <c r="D409" s="71"/>
      <c r="E409" s="72"/>
      <c r="F409" s="70"/>
      <c r="G409" s="72" t="str">
        <f t="shared" ca="1" si="12"/>
        <v/>
      </c>
      <c r="H409" s="72"/>
      <c r="I409" s="71"/>
      <c r="L409" s="55" t="str">
        <f t="shared" ca="1" si="13"/>
        <v>NE</v>
      </c>
    </row>
    <row r="410" spans="1:12" ht="27" thickBot="1">
      <c r="A410" s="72"/>
      <c r="B410" s="74"/>
      <c r="C410" s="71"/>
      <c r="D410" s="71"/>
      <c r="E410" s="72"/>
      <c r="F410" s="70"/>
      <c r="G410" s="72" t="str">
        <f t="shared" ca="1" si="12"/>
        <v/>
      </c>
      <c r="H410" s="72"/>
      <c r="I410" s="71"/>
      <c r="L410" s="55" t="str">
        <f t="shared" ca="1" si="13"/>
        <v>NE</v>
      </c>
    </row>
    <row r="411" spans="1:12" ht="27" thickBot="1">
      <c r="A411" s="72"/>
      <c r="B411" s="74"/>
      <c r="C411" s="71"/>
      <c r="D411" s="71"/>
      <c r="E411" s="72"/>
      <c r="F411" s="70"/>
      <c r="G411" s="72" t="str">
        <f t="shared" ca="1" si="12"/>
        <v/>
      </c>
      <c r="H411" s="72"/>
      <c r="I411" s="71"/>
      <c r="L411" s="55" t="str">
        <f t="shared" ca="1" si="13"/>
        <v>NE</v>
      </c>
    </row>
    <row r="412" spans="1:12" ht="27" thickBot="1">
      <c r="A412" s="72"/>
      <c r="B412" s="74"/>
      <c r="C412" s="71"/>
      <c r="D412" s="71"/>
      <c r="E412" s="72"/>
      <c r="F412" s="70"/>
      <c r="G412" s="72" t="str">
        <f t="shared" ca="1" si="12"/>
        <v/>
      </c>
      <c r="H412" s="72"/>
      <c r="I412" s="71"/>
      <c r="L412" s="55" t="str">
        <f t="shared" ca="1" si="13"/>
        <v>NE</v>
      </c>
    </row>
    <row r="413" spans="1:12" ht="27" thickBot="1">
      <c r="A413" s="72"/>
      <c r="B413" s="74"/>
      <c r="C413" s="71"/>
      <c r="D413" s="71"/>
      <c r="E413" s="72"/>
      <c r="F413" s="70"/>
      <c r="G413" s="72" t="str">
        <f t="shared" ca="1" si="12"/>
        <v/>
      </c>
      <c r="H413" s="72"/>
      <c r="I413" s="71"/>
      <c r="L413" s="55" t="str">
        <f t="shared" ca="1" si="13"/>
        <v>NE</v>
      </c>
    </row>
    <row r="414" spans="1:12" ht="27" thickBot="1">
      <c r="A414" s="72"/>
      <c r="B414" s="74"/>
      <c r="C414" s="71"/>
      <c r="D414" s="71"/>
      <c r="E414" s="72"/>
      <c r="F414" s="70"/>
      <c r="G414" s="72" t="str">
        <f t="shared" ca="1" si="12"/>
        <v/>
      </c>
      <c r="H414" s="72"/>
      <c r="I414" s="71"/>
      <c r="L414" s="55" t="str">
        <f t="shared" ca="1" si="13"/>
        <v>NE</v>
      </c>
    </row>
    <row r="415" spans="1:12" ht="27" thickBot="1">
      <c r="A415" s="72"/>
      <c r="B415" s="74"/>
      <c r="C415" s="71"/>
      <c r="D415" s="71"/>
      <c r="E415" s="72"/>
      <c r="F415" s="70"/>
      <c r="G415" s="72" t="str">
        <f t="shared" ca="1" si="12"/>
        <v/>
      </c>
      <c r="H415" s="72"/>
      <c r="I415" s="71"/>
      <c r="L415" s="55" t="str">
        <f t="shared" ca="1" si="13"/>
        <v>NE</v>
      </c>
    </row>
    <row r="416" spans="1:12" ht="27" thickBot="1">
      <c r="A416" s="72"/>
      <c r="B416" s="74"/>
      <c r="C416" s="71"/>
      <c r="D416" s="71"/>
      <c r="E416" s="72"/>
      <c r="F416" s="70"/>
      <c r="G416" s="72" t="str">
        <f t="shared" ca="1" si="12"/>
        <v/>
      </c>
      <c r="H416" s="72"/>
      <c r="I416" s="71"/>
      <c r="L416" s="55" t="str">
        <f t="shared" ca="1" si="13"/>
        <v>NE</v>
      </c>
    </row>
    <row r="417" spans="1:12" ht="27" thickBot="1">
      <c r="A417" s="72"/>
      <c r="B417" s="74"/>
      <c r="C417" s="71"/>
      <c r="D417" s="71"/>
      <c r="E417" s="72"/>
      <c r="F417" s="70"/>
      <c r="G417" s="72" t="str">
        <f t="shared" ca="1" si="12"/>
        <v/>
      </c>
      <c r="H417" s="72"/>
      <c r="I417" s="71"/>
      <c r="L417" s="55" t="str">
        <f t="shared" ca="1" si="13"/>
        <v>NE</v>
      </c>
    </row>
    <row r="418" spans="1:12" ht="27" thickBot="1">
      <c r="A418" s="72"/>
      <c r="B418" s="74"/>
      <c r="C418" s="71"/>
      <c r="D418" s="71"/>
      <c r="E418" s="72"/>
      <c r="F418" s="70"/>
      <c r="G418" s="72" t="str">
        <f t="shared" ca="1" si="12"/>
        <v/>
      </c>
      <c r="H418" s="72"/>
      <c r="I418" s="71"/>
      <c r="L418" s="55" t="str">
        <f t="shared" ca="1" si="13"/>
        <v>NE</v>
      </c>
    </row>
    <row r="419" spans="1:12" ht="27" thickBot="1">
      <c r="A419" s="72"/>
      <c r="B419" s="74"/>
      <c r="C419" s="71"/>
      <c r="D419" s="71"/>
      <c r="E419" s="72"/>
      <c r="F419" s="70"/>
      <c r="G419" s="72" t="str">
        <f t="shared" ca="1" si="12"/>
        <v/>
      </c>
      <c r="H419" s="72"/>
      <c r="I419" s="71"/>
      <c r="L419" s="55" t="str">
        <f t="shared" ca="1" si="13"/>
        <v>NE</v>
      </c>
    </row>
    <row r="420" spans="1:12" ht="27" thickBot="1">
      <c r="A420" s="72"/>
      <c r="B420" s="74"/>
      <c r="C420" s="71"/>
      <c r="D420" s="71"/>
      <c r="E420" s="72"/>
      <c r="F420" s="70"/>
      <c r="G420" s="72" t="str">
        <f t="shared" ca="1" si="12"/>
        <v/>
      </c>
      <c r="H420" s="72"/>
      <c r="I420" s="71"/>
      <c r="L420" s="55" t="str">
        <f t="shared" ca="1" si="13"/>
        <v>NE</v>
      </c>
    </row>
    <row r="421" spans="1:12" ht="27" thickBot="1">
      <c r="A421" s="72"/>
      <c r="B421" s="74"/>
      <c r="C421" s="71"/>
      <c r="D421" s="71"/>
      <c r="E421" s="72"/>
      <c r="F421" s="70"/>
      <c r="G421" s="72" t="str">
        <f t="shared" ca="1" si="12"/>
        <v/>
      </c>
      <c r="H421" s="72"/>
      <c r="I421" s="71"/>
      <c r="L421" s="55" t="str">
        <f t="shared" ca="1" si="13"/>
        <v>NE</v>
      </c>
    </row>
    <row r="422" spans="1:12" ht="27" thickBot="1">
      <c r="A422" s="72"/>
      <c r="B422" s="74"/>
      <c r="C422" s="71"/>
      <c r="D422" s="71"/>
      <c r="E422" s="72"/>
      <c r="F422" s="70"/>
      <c r="G422" s="72" t="str">
        <f t="shared" ca="1" si="12"/>
        <v/>
      </c>
      <c r="H422" s="72"/>
      <c r="I422" s="71"/>
      <c r="L422" s="55" t="str">
        <f t="shared" ca="1" si="13"/>
        <v>NE</v>
      </c>
    </row>
    <row r="423" spans="1:12" ht="27" thickBot="1">
      <c r="A423" s="72"/>
      <c r="B423" s="74"/>
      <c r="C423" s="71"/>
      <c r="D423" s="71"/>
      <c r="E423" s="72"/>
      <c r="F423" s="70"/>
      <c r="G423" s="72" t="str">
        <f t="shared" ca="1" si="12"/>
        <v/>
      </c>
      <c r="H423" s="72"/>
      <c r="I423" s="71"/>
      <c r="L423" s="55" t="str">
        <f t="shared" ca="1" si="13"/>
        <v>NE</v>
      </c>
    </row>
    <row r="424" spans="1:12" ht="27" thickBot="1">
      <c r="A424" s="72"/>
      <c r="B424" s="74"/>
      <c r="C424" s="71"/>
      <c r="D424" s="71"/>
      <c r="E424" s="72"/>
      <c r="F424" s="70"/>
      <c r="G424" s="72" t="str">
        <f t="shared" ca="1" si="12"/>
        <v/>
      </c>
      <c r="H424" s="72"/>
      <c r="I424" s="71"/>
      <c r="L424" s="55" t="str">
        <f t="shared" ca="1" si="13"/>
        <v>NE</v>
      </c>
    </row>
    <row r="425" spans="1:12" ht="27" thickBot="1">
      <c r="A425" s="72"/>
      <c r="B425" s="74"/>
      <c r="C425" s="71"/>
      <c r="D425" s="71"/>
      <c r="E425" s="72"/>
      <c r="F425" s="70"/>
      <c r="G425" s="72" t="str">
        <f t="shared" ca="1" si="12"/>
        <v/>
      </c>
      <c r="H425" s="72"/>
      <c r="I425" s="71"/>
      <c r="L425" s="55" t="str">
        <f t="shared" ca="1" si="13"/>
        <v>NE</v>
      </c>
    </row>
    <row r="426" spans="1:12" ht="27" thickBot="1">
      <c r="A426" s="72"/>
      <c r="B426" s="74"/>
      <c r="C426" s="71"/>
      <c r="D426" s="71"/>
      <c r="E426" s="72"/>
      <c r="F426" s="70"/>
      <c r="G426" s="72" t="str">
        <f t="shared" ca="1" si="12"/>
        <v/>
      </c>
      <c r="H426" s="72"/>
      <c r="I426" s="71"/>
      <c r="L426" s="55" t="str">
        <f t="shared" ca="1" si="13"/>
        <v>NE</v>
      </c>
    </row>
    <row r="427" spans="1:12" ht="27" thickBot="1">
      <c r="A427" s="72"/>
      <c r="B427" s="74"/>
      <c r="C427" s="71"/>
      <c r="D427" s="71"/>
      <c r="E427" s="72"/>
      <c r="F427" s="70"/>
      <c r="G427" s="72" t="str">
        <f t="shared" ca="1" si="12"/>
        <v/>
      </c>
      <c r="H427" s="72"/>
      <c r="I427" s="71"/>
      <c r="L427" s="55" t="str">
        <f t="shared" ca="1" si="13"/>
        <v>NE</v>
      </c>
    </row>
    <row r="428" spans="1:12" ht="27" thickBot="1">
      <c r="A428" s="72"/>
      <c r="B428" s="74"/>
      <c r="C428" s="71"/>
      <c r="D428" s="71"/>
      <c r="E428" s="72"/>
      <c r="F428" s="70"/>
      <c r="G428" s="72" t="str">
        <f t="shared" ca="1" si="12"/>
        <v/>
      </c>
      <c r="H428" s="72"/>
      <c r="I428" s="71"/>
      <c r="L428" s="55" t="str">
        <f t="shared" ca="1" si="13"/>
        <v>NE</v>
      </c>
    </row>
    <row r="429" spans="1:12" ht="27" thickBot="1">
      <c r="A429" s="72"/>
      <c r="B429" s="74"/>
      <c r="C429" s="71"/>
      <c r="D429" s="71"/>
      <c r="E429" s="72"/>
      <c r="F429" s="70"/>
      <c r="G429" s="72" t="str">
        <f t="shared" ca="1" si="12"/>
        <v/>
      </c>
      <c r="H429" s="72"/>
      <c r="I429" s="71"/>
      <c r="L429" s="55" t="str">
        <f t="shared" ca="1" si="13"/>
        <v>NE</v>
      </c>
    </row>
    <row r="430" spans="1:12" ht="27" thickBot="1">
      <c r="A430" s="72"/>
      <c r="B430" s="74"/>
      <c r="C430" s="71"/>
      <c r="D430" s="71"/>
      <c r="E430" s="72"/>
      <c r="F430" s="70"/>
      <c r="G430" s="72" t="str">
        <f t="shared" ref="G430:G493" ca="1" si="14">IF(ISBLANK(F430),"",IF(F430&gt;=TODAY(), "Non Echue", "Echue"))</f>
        <v/>
      </c>
      <c r="H430" s="72"/>
      <c r="I430" s="71"/>
      <c r="L430" s="55" t="str">
        <f t="shared" ref="L430:L493" ca="1" si="15" xml:space="preserve"> IF(G430 = "Echue",IF(H430 = "Appliqué","EAP","NAP"),"NE")</f>
        <v>NE</v>
      </c>
    </row>
    <row r="431" spans="1:12" ht="27" thickBot="1">
      <c r="A431" s="72"/>
      <c r="B431" s="74"/>
      <c r="C431" s="71"/>
      <c r="D431" s="71"/>
      <c r="E431" s="72"/>
      <c r="F431" s="70"/>
      <c r="G431" s="72" t="str">
        <f t="shared" ca="1" si="14"/>
        <v/>
      </c>
      <c r="H431" s="72"/>
      <c r="I431" s="71"/>
      <c r="L431" s="55" t="str">
        <f t="shared" ca="1" si="15"/>
        <v>NE</v>
      </c>
    </row>
    <row r="432" spans="1:12" ht="27" thickBot="1">
      <c r="A432" s="72"/>
      <c r="B432" s="74"/>
      <c r="C432" s="71"/>
      <c r="D432" s="71"/>
      <c r="E432" s="72"/>
      <c r="F432" s="70"/>
      <c r="G432" s="72" t="str">
        <f t="shared" ca="1" si="14"/>
        <v/>
      </c>
      <c r="H432" s="72"/>
      <c r="I432" s="71"/>
      <c r="L432" s="55" t="str">
        <f t="shared" ca="1" si="15"/>
        <v>NE</v>
      </c>
    </row>
    <row r="433" spans="1:12" ht="27" thickBot="1">
      <c r="A433" s="72"/>
      <c r="B433" s="74"/>
      <c r="C433" s="71"/>
      <c r="D433" s="71"/>
      <c r="E433" s="72"/>
      <c r="F433" s="70"/>
      <c r="G433" s="72" t="str">
        <f t="shared" ca="1" si="14"/>
        <v/>
      </c>
      <c r="H433" s="72"/>
      <c r="I433" s="71"/>
      <c r="L433" s="55" t="str">
        <f t="shared" ca="1" si="15"/>
        <v>NE</v>
      </c>
    </row>
    <row r="434" spans="1:12" ht="27" thickBot="1">
      <c r="A434" s="72"/>
      <c r="B434" s="74"/>
      <c r="C434" s="71"/>
      <c r="D434" s="71"/>
      <c r="E434" s="72"/>
      <c r="F434" s="70"/>
      <c r="G434" s="72" t="str">
        <f t="shared" ca="1" si="14"/>
        <v/>
      </c>
      <c r="H434" s="72"/>
      <c r="I434" s="71"/>
      <c r="L434" s="55" t="str">
        <f t="shared" ca="1" si="15"/>
        <v>NE</v>
      </c>
    </row>
    <row r="435" spans="1:12" ht="27" thickBot="1">
      <c r="A435" s="72"/>
      <c r="B435" s="74"/>
      <c r="C435" s="71"/>
      <c r="D435" s="71"/>
      <c r="E435" s="72"/>
      <c r="F435" s="70"/>
      <c r="G435" s="72" t="str">
        <f t="shared" ca="1" si="14"/>
        <v/>
      </c>
      <c r="H435" s="72"/>
      <c r="I435" s="71"/>
      <c r="L435" s="55" t="str">
        <f t="shared" ca="1" si="15"/>
        <v>NE</v>
      </c>
    </row>
    <row r="436" spans="1:12" ht="27" thickBot="1">
      <c r="A436" s="72"/>
      <c r="B436" s="74"/>
      <c r="C436" s="71"/>
      <c r="D436" s="71"/>
      <c r="E436" s="72"/>
      <c r="F436" s="70"/>
      <c r="G436" s="72" t="str">
        <f t="shared" ca="1" si="14"/>
        <v/>
      </c>
      <c r="H436" s="72"/>
      <c r="I436" s="71"/>
      <c r="L436" s="55" t="str">
        <f t="shared" ca="1" si="15"/>
        <v>NE</v>
      </c>
    </row>
    <row r="437" spans="1:12" ht="27" thickBot="1">
      <c r="A437" s="72"/>
      <c r="B437" s="74"/>
      <c r="C437" s="71"/>
      <c r="D437" s="71"/>
      <c r="E437" s="72"/>
      <c r="F437" s="70"/>
      <c r="G437" s="72" t="str">
        <f t="shared" ca="1" si="14"/>
        <v/>
      </c>
      <c r="H437" s="72"/>
      <c r="I437" s="71"/>
      <c r="L437" s="55" t="str">
        <f t="shared" ca="1" si="15"/>
        <v>NE</v>
      </c>
    </row>
    <row r="438" spans="1:12" ht="27" thickBot="1">
      <c r="A438" s="72"/>
      <c r="B438" s="74"/>
      <c r="C438" s="71"/>
      <c r="D438" s="71"/>
      <c r="E438" s="72"/>
      <c r="F438" s="70"/>
      <c r="G438" s="72" t="str">
        <f t="shared" ca="1" si="14"/>
        <v/>
      </c>
      <c r="H438" s="72"/>
      <c r="I438" s="71"/>
      <c r="L438" s="55" t="str">
        <f t="shared" ca="1" si="15"/>
        <v>NE</v>
      </c>
    </row>
    <row r="439" spans="1:12" ht="27" thickBot="1">
      <c r="A439" s="72"/>
      <c r="B439" s="74"/>
      <c r="C439" s="71"/>
      <c r="D439" s="71"/>
      <c r="E439" s="72"/>
      <c r="F439" s="70"/>
      <c r="G439" s="72" t="str">
        <f t="shared" ca="1" si="14"/>
        <v/>
      </c>
      <c r="H439" s="72"/>
      <c r="I439" s="71"/>
      <c r="L439" s="55" t="str">
        <f t="shared" ca="1" si="15"/>
        <v>NE</v>
      </c>
    </row>
    <row r="440" spans="1:12" ht="27" thickBot="1">
      <c r="A440" s="72"/>
      <c r="B440" s="74"/>
      <c r="C440" s="71"/>
      <c r="D440" s="71"/>
      <c r="E440" s="72"/>
      <c r="F440" s="70"/>
      <c r="G440" s="72" t="str">
        <f t="shared" ca="1" si="14"/>
        <v/>
      </c>
      <c r="H440" s="72"/>
      <c r="I440" s="71"/>
      <c r="L440" s="55" t="str">
        <f t="shared" ca="1" si="15"/>
        <v>NE</v>
      </c>
    </row>
    <row r="441" spans="1:12" ht="27" thickBot="1">
      <c r="A441" s="72"/>
      <c r="B441" s="74"/>
      <c r="C441" s="71"/>
      <c r="D441" s="71"/>
      <c r="E441" s="72"/>
      <c r="F441" s="70"/>
      <c r="G441" s="72" t="str">
        <f t="shared" ca="1" si="14"/>
        <v/>
      </c>
      <c r="H441" s="72"/>
      <c r="I441" s="71"/>
      <c r="L441" s="55" t="str">
        <f t="shared" ca="1" si="15"/>
        <v>NE</v>
      </c>
    </row>
    <row r="442" spans="1:12" ht="27" thickBot="1">
      <c r="A442" s="72"/>
      <c r="B442" s="74"/>
      <c r="C442" s="71"/>
      <c r="D442" s="71"/>
      <c r="E442" s="72"/>
      <c r="F442" s="70"/>
      <c r="G442" s="72" t="str">
        <f t="shared" ca="1" si="14"/>
        <v/>
      </c>
      <c r="H442" s="72"/>
      <c r="I442" s="71"/>
      <c r="L442" s="55" t="str">
        <f t="shared" ca="1" si="15"/>
        <v>NE</v>
      </c>
    </row>
    <row r="443" spans="1:12" ht="27" thickBot="1">
      <c r="A443" s="72"/>
      <c r="B443" s="74"/>
      <c r="C443" s="71"/>
      <c r="D443" s="71"/>
      <c r="E443" s="72"/>
      <c r="F443" s="70"/>
      <c r="G443" s="72" t="str">
        <f t="shared" ca="1" si="14"/>
        <v/>
      </c>
      <c r="H443" s="72"/>
      <c r="I443" s="71"/>
      <c r="L443" s="55" t="str">
        <f t="shared" ca="1" si="15"/>
        <v>NE</v>
      </c>
    </row>
    <row r="444" spans="1:12" ht="27" thickBot="1">
      <c r="A444" s="72"/>
      <c r="B444" s="74"/>
      <c r="C444" s="71"/>
      <c r="D444" s="71"/>
      <c r="E444" s="72"/>
      <c r="F444" s="70"/>
      <c r="G444" s="72" t="str">
        <f t="shared" ca="1" si="14"/>
        <v/>
      </c>
      <c r="H444" s="72"/>
      <c r="I444" s="71"/>
      <c r="L444" s="55" t="str">
        <f t="shared" ca="1" si="15"/>
        <v>NE</v>
      </c>
    </row>
    <row r="445" spans="1:12" ht="27" thickBot="1">
      <c r="A445" s="72"/>
      <c r="B445" s="74"/>
      <c r="C445" s="71"/>
      <c r="D445" s="71"/>
      <c r="E445" s="72"/>
      <c r="F445" s="70"/>
      <c r="G445" s="72" t="str">
        <f t="shared" ca="1" si="14"/>
        <v/>
      </c>
      <c r="H445" s="72"/>
      <c r="I445" s="71"/>
      <c r="L445" s="55" t="str">
        <f t="shared" ca="1" si="15"/>
        <v>NE</v>
      </c>
    </row>
    <row r="446" spans="1:12" ht="27" thickBot="1">
      <c r="A446" s="72"/>
      <c r="B446" s="74"/>
      <c r="C446" s="71"/>
      <c r="D446" s="71"/>
      <c r="E446" s="72"/>
      <c r="F446" s="70"/>
      <c r="G446" s="72" t="str">
        <f t="shared" ca="1" si="14"/>
        <v/>
      </c>
      <c r="H446" s="72"/>
      <c r="I446" s="71"/>
      <c r="L446" s="55" t="str">
        <f t="shared" ca="1" si="15"/>
        <v>NE</v>
      </c>
    </row>
    <row r="447" spans="1:12" ht="27" thickBot="1">
      <c r="A447" s="72"/>
      <c r="B447" s="74"/>
      <c r="C447" s="71"/>
      <c r="D447" s="71"/>
      <c r="E447" s="72"/>
      <c r="F447" s="70"/>
      <c r="G447" s="72" t="str">
        <f t="shared" ca="1" si="14"/>
        <v/>
      </c>
      <c r="H447" s="72"/>
      <c r="I447" s="71"/>
      <c r="L447" s="55" t="str">
        <f t="shared" ca="1" si="15"/>
        <v>NE</v>
      </c>
    </row>
    <row r="448" spans="1:12" ht="27" thickBot="1">
      <c r="A448" s="72"/>
      <c r="B448" s="74"/>
      <c r="C448" s="71"/>
      <c r="D448" s="71"/>
      <c r="E448" s="72"/>
      <c r="F448" s="70"/>
      <c r="G448" s="72" t="str">
        <f t="shared" ca="1" si="14"/>
        <v/>
      </c>
      <c r="H448" s="72"/>
      <c r="I448" s="71"/>
      <c r="L448" s="55" t="str">
        <f t="shared" ca="1" si="15"/>
        <v>NE</v>
      </c>
    </row>
    <row r="449" spans="1:12" ht="27" thickBot="1">
      <c r="A449" s="72"/>
      <c r="B449" s="74"/>
      <c r="C449" s="71"/>
      <c r="D449" s="71"/>
      <c r="E449" s="72"/>
      <c r="F449" s="70"/>
      <c r="G449" s="72" t="str">
        <f t="shared" ca="1" si="14"/>
        <v/>
      </c>
      <c r="H449" s="72"/>
      <c r="I449" s="71"/>
      <c r="L449" s="55" t="str">
        <f t="shared" ca="1" si="15"/>
        <v>NE</v>
      </c>
    </row>
    <row r="450" spans="1:12" ht="27" thickBot="1">
      <c r="A450" s="72"/>
      <c r="B450" s="74"/>
      <c r="C450" s="71"/>
      <c r="D450" s="71"/>
      <c r="E450" s="72"/>
      <c r="F450" s="70"/>
      <c r="G450" s="72" t="str">
        <f t="shared" ca="1" si="14"/>
        <v/>
      </c>
      <c r="H450" s="72"/>
      <c r="I450" s="71"/>
      <c r="L450" s="55" t="str">
        <f t="shared" ca="1" si="15"/>
        <v>NE</v>
      </c>
    </row>
    <row r="451" spans="1:12" ht="27" thickBot="1">
      <c r="A451" s="72"/>
      <c r="B451" s="74"/>
      <c r="C451" s="71"/>
      <c r="D451" s="71"/>
      <c r="E451" s="72"/>
      <c r="F451" s="70"/>
      <c r="G451" s="72" t="str">
        <f t="shared" ca="1" si="14"/>
        <v/>
      </c>
      <c r="H451" s="72"/>
      <c r="I451" s="71"/>
      <c r="L451" s="55" t="str">
        <f t="shared" ca="1" si="15"/>
        <v>NE</v>
      </c>
    </row>
    <row r="452" spans="1:12" ht="27" thickBot="1">
      <c r="A452" s="72"/>
      <c r="B452" s="74"/>
      <c r="C452" s="71"/>
      <c r="D452" s="71"/>
      <c r="E452" s="72"/>
      <c r="F452" s="70"/>
      <c r="G452" s="72" t="str">
        <f t="shared" ca="1" si="14"/>
        <v/>
      </c>
      <c r="H452" s="72"/>
      <c r="I452" s="71"/>
      <c r="L452" s="55" t="str">
        <f t="shared" ca="1" si="15"/>
        <v>NE</v>
      </c>
    </row>
    <row r="453" spans="1:12" ht="27" thickBot="1">
      <c r="A453" s="72"/>
      <c r="B453" s="74"/>
      <c r="C453" s="71"/>
      <c r="D453" s="71"/>
      <c r="E453" s="72"/>
      <c r="F453" s="70"/>
      <c r="G453" s="72" t="str">
        <f t="shared" ca="1" si="14"/>
        <v/>
      </c>
      <c r="H453" s="72"/>
      <c r="I453" s="71"/>
      <c r="L453" s="55" t="str">
        <f t="shared" ca="1" si="15"/>
        <v>NE</v>
      </c>
    </row>
    <row r="454" spans="1:12" ht="27" thickBot="1">
      <c r="A454" s="72"/>
      <c r="B454" s="74"/>
      <c r="C454" s="71"/>
      <c r="D454" s="71"/>
      <c r="E454" s="72"/>
      <c r="F454" s="70"/>
      <c r="G454" s="72" t="str">
        <f t="shared" ca="1" si="14"/>
        <v/>
      </c>
      <c r="H454" s="72"/>
      <c r="I454" s="71"/>
      <c r="L454" s="55" t="str">
        <f t="shared" ca="1" si="15"/>
        <v>NE</v>
      </c>
    </row>
    <row r="455" spans="1:12" ht="27" thickBot="1">
      <c r="A455" s="72"/>
      <c r="B455" s="74"/>
      <c r="C455" s="71"/>
      <c r="D455" s="71"/>
      <c r="E455" s="72"/>
      <c r="F455" s="70"/>
      <c r="G455" s="72" t="str">
        <f t="shared" ca="1" si="14"/>
        <v/>
      </c>
      <c r="H455" s="72"/>
      <c r="I455" s="71"/>
      <c r="L455" s="55" t="str">
        <f t="shared" ca="1" si="15"/>
        <v>NE</v>
      </c>
    </row>
    <row r="456" spans="1:12" ht="27" thickBot="1">
      <c r="A456" s="72"/>
      <c r="B456" s="74"/>
      <c r="C456" s="71"/>
      <c r="D456" s="71"/>
      <c r="E456" s="72"/>
      <c r="F456" s="70"/>
      <c r="G456" s="72" t="str">
        <f t="shared" ca="1" si="14"/>
        <v/>
      </c>
      <c r="H456" s="72"/>
      <c r="I456" s="71"/>
      <c r="L456" s="55" t="str">
        <f t="shared" ca="1" si="15"/>
        <v>NE</v>
      </c>
    </row>
    <row r="457" spans="1:12" ht="27" thickBot="1">
      <c r="A457" s="72"/>
      <c r="B457" s="74"/>
      <c r="C457" s="71"/>
      <c r="D457" s="71"/>
      <c r="E457" s="72"/>
      <c r="F457" s="70"/>
      <c r="G457" s="72" t="str">
        <f t="shared" ca="1" si="14"/>
        <v/>
      </c>
      <c r="H457" s="72"/>
      <c r="I457" s="71"/>
      <c r="L457" s="55" t="str">
        <f t="shared" ca="1" si="15"/>
        <v>NE</v>
      </c>
    </row>
    <row r="458" spans="1:12" ht="27" thickBot="1">
      <c r="A458" s="72"/>
      <c r="B458" s="74"/>
      <c r="C458" s="71"/>
      <c r="D458" s="71"/>
      <c r="E458" s="72"/>
      <c r="F458" s="70"/>
      <c r="G458" s="72" t="str">
        <f t="shared" ca="1" si="14"/>
        <v/>
      </c>
      <c r="H458" s="72"/>
      <c r="I458" s="71"/>
      <c r="L458" s="55" t="str">
        <f t="shared" ca="1" si="15"/>
        <v>NE</v>
      </c>
    </row>
    <row r="459" spans="1:12" ht="27" thickBot="1">
      <c r="A459" s="72"/>
      <c r="B459" s="74"/>
      <c r="C459" s="71"/>
      <c r="D459" s="71"/>
      <c r="E459" s="72"/>
      <c r="F459" s="70"/>
      <c r="G459" s="72" t="str">
        <f t="shared" ca="1" si="14"/>
        <v/>
      </c>
      <c r="H459" s="72"/>
      <c r="I459" s="71"/>
      <c r="L459" s="55" t="str">
        <f t="shared" ca="1" si="15"/>
        <v>NE</v>
      </c>
    </row>
    <row r="460" spans="1:12" ht="27" thickBot="1">
      <c r="A460" s="72"/>
      <c r="B460" s="74"/>
      <c r="C460" s="71"/>
      <c r="D460" s="71"/>
      <c r="E460" s="72"/>
      <c r="F460" s="70"/>
      <c r="G460" s="72" t="str">
        <f t="shared" ca="1" si="14"/>
        <v/>
      </c>
      <c r="H460" s="72"/>
      <c r="I460" s="71"/>
      <c r="L460" s="55" t="str">
        <f t="shared" ca="1" si="15"/>
        <v>NE</v>
      </c>
    </row>
    <row r="461" spans="1:12" ht="27" thickBot="1">
      <c r="A461" s="72"/>
      <c r="B461" s="74"/>
      <c r="C461" s="71"/>
      <c r="D461" s="71"/>
      <c r="E461" s="72"/>
      <c r="F461" s="70"/>
      <c r="G461" s="72" t="str">
        <f t="shared" ca="1" si="14"/>
        <v/>
      </c>
      <c r="H461" s="72"/>
      <c r="I461" s="71"/>
      <c r="L461" s="55" t="str">
        <f t="shared" ca="1" si="15"/>
        <v>NE</v>
      </c>
    </row>
    <row r="462" spans="1:12" ht="27" thickBot="1">
      <c r="A462" s="72"/>
      <c r="B462" s="74"/>
      <c r="C462" s="71"/>
      <c r="D462" s="71"/>
      <c r="E462" s="72"/>
      <c r="F462" s="70"/>
      <c r="G462" s="72" t="str">
        <f t="shared" ca="1" si="14"/>
        <v/>
      </c>
      <c r="H462" s="72"/>
      <c r="I462" s="71"/>
      <c r="L462" s="55" t="str">
        <f t="shared" ca="1" si="15"/>
        <v>NE</v>
      </c>
    </row>
    <row r="463" spans="1:12" ht="27" thickBot="1">
      <c r="A463" s="72"/>
      <c r="B463" s="74"/>
      <c r="C463" s="71"/>
      <c r="D463" s="71"/>
      <c r="E463" s="72"/>
      <c r="F463" s="70"/>
      <c r="G463" s="72" t="str">
        <f t="shared" ca="1" si="14"/>
        <v/>
      </c>
      <c r="H463" s="72"/>
      <c r="I463" s="71"/>
      <c r="L463" s="55" t="str">
        <f t="shared" ca="1" si="15"/>
        <v>NE</v>
      </c>
    </row>
    <row r="464" spans="1:12" ht="27" thickBot="1">
      <c r="A464" s="72"/>
      <c r="B464" s="74"/>
      <c r="C464" s="71"/>
      <c r="D464" s="71"/>
      <c r="E464" s="72"/>
      <c r="F464" s="70"/>
      <c r="G464" s="72" t="str">
        <f t="shared" ca="1" si="14"/>
        <v/>
      </c>
      <c r="H464" s="72"/>
      <c r="I464" s="71"/>
      <c r="L464" s="55" t="str">
        <f t="shared" ca="1" si="15"/>
        <v>NE</v>
      </c>
    </row>
    <row r="465" spans="1:12" ht="27" thickBot="1">
      <c r="A465" s="72"/>
      <c r="B465" s="74"/>
      <c r="C465" s="71"/>
      <c r="D465" s="71"/>
      <c r="E465" s="72"/>
      <c r="F465" s="70"/>
      <c r="G465" s="72" t="str">
        <f t="shared" ca="1" si="14"/>
        <v/>
      </c>
      <c r="H465" s="72"/>
      <c r="I465" s="71"/>
      <c r="L465" s="55" t="str">
        <f t="shared" ca="1" si="15"/>
        <v>NE</v>
      </c>
    </row>
    <row r="466" spans="1:12" ht="27" thickBot="1">
      <c r="A466" s="72"/>
      <c r="B466" s="74"/>
      <c r="C466" s="71"/>
      <c r="D466" s="71"/>
      <c r="E466" s="72"/>
      <c r="F466" s="70"/>
      <c r="G466" s="72" t="str">
        <f t="shared" ca="1" si="14"/>
        <v/>
      </c>
      <c r="H466" s="72"/>
      <c r="I466" s="71"/>
      <c r="L466" s="55" t="str">
        <f t="shared" ca="1" si="15"/>
        <v>NE</v>
      </c>
    </row>
    <row r="467" spans="1:12" ht="27" thickBot="1">
      <c r="A467" s="72"/>
      <c r="B467" s="74"/>
      <c r="C467" s="71"/>
      <c r="D467" s="71"/>
      <c r="E467" s="72"/>
      <c r="F467" s="70"/>
      <c r="G467" s="72" t="str">
        <f t="shared" ca="1" si="14"/>
        <v/>
      </c>
      <c r="H467" s="72"/>
      <c r="I467" s="71"/>
      <c r="L467" s="55" t="str">
        <f t="shared" ca="1" si="15"/>
        <v>NE</v>
      </c>
    </row>
    <row r="468" spans="1:12" ht="27" thickBot="1">
      <c r="A468" s="72"/>
      <c r="B468" s="74"/>
      <c r="C468" s="71"/>
      <c r="D468" s="71"/>
      <c r="E468" s="72"/>
      <c r="F468" s="70"/>
      <c r="G468" s="72" t="str">
        <f t="shared" ca="1" si="14"/>
        <v/>
      </c>
      <c r="H468" s="72"/>
      <c r="I468" s="71"/>
      <c r="L468" s="55" t="str">
        <f t="shared" ca="1" si="15"/>
        <v>NE</v>
      </c>
    </row>
    <row r="469" spans="1:12" ht="27" thickBot="1">
      <c r="A469" s="72"/>
      <c r="B469" s="74"/>
      <c r="C469" s="71"/>
      <c r="D469" s="71"/>
      <c r="E469" s="72"/>
      <c r="F469" s="70"/>
      <c r="G469" s="72" t="str">
        <f t="shared" ca="1" si="14"/>
        <v/>
      </c>
      <c r="H469" s="72"/>
      <c r="I469" s="71"/>
      <c r="L469" s="55" t="str">
        <f t="shared" ca="1" si="15"/>
        <v>NE</v>
      </c>
    </row>
    <row r="470" spans="1:12" ht="27" thickBot="1">
      <c r="A470" s="72"/>
      <c r="B470" s="74"/>
      <c r="C470" s="71"/>
      <c r="D470" s="71"/>
      <c r="E470" s="72"/>
      <c r="F470" s="70"/>
      <c r="G470" s="72" t="str">
        <f t="shared" ca="1" si="14"/>
        <v/>
      </c>
      <c r="H470" s="72"/>
      <c r="I470" s="71"/>
      <c r="L470" s="55" t="str">
        <f t="shared" ca="1" si="15"/>
        <v>NE</v>
      </c>
    </row>
    <row r="471" spans="1:12" ht="27" thickBot="1">
      <c r="A471" s="72"/>
      <c r="B471" s="74"/>
      <c r="C471" s="71"/>
      <c r="D471" s="71"/>
      <c r="E471" s="72"/>
      <c r="F471" s="70"/>
      <c r="G471" s="72" t="str">
        <f t="shared" ca="1" si="14"/>
        <v/>
      </c>
      <c r="H471" s="72"/>
      <c r="I471" s="71"/>
      <c r="L471" s="55" t="str">
        <f t="shared" ca="1" si="15"/>
        <v>NE</v>
      </c>
    </row>
    <row r="472" spans="1:12" ht="27" thickBot="1">
      <c r="A472" s="72"/>
      <c r="B472" s="74"/>
      <c r="C472" s="71"/>
      <c r="D472" s="71"/>
      <c r="E472" s="72"/>
      <c r="F472" s="70"/>
      <c r="G472" s="72" t="str">
        <f t="shared" ca="1" si="14"/>
        <v/>
      </c>
      <c r="H472" s="72"/>
      <c r="I472" s="71"/>
      <c r="L472" s="55" t="str">
        <f t="shared" ca="1" si="15"/>
        <v>NE</v>
      </c>
    </row>
    <row r="473" spans="1:12" ht="27" thickBot="1">
      <c r="A473" s="72"/>
      <c r="B473" s="74"/>
      <c r="C473" s="71"/>
      <c r="D473" s="71"/>
      <c r="E473" s="72"/>
      <c r="F473" s="70"/>
      <c r="G473" s="72" t="str">
        <f t="shared" ca="1" si="14"/>
        <v/>
      </c>
      <c r="H473" s="72"/>
      <c r="I473" s="71"/>
      <c r="L473" s="55" t="str">
        <f t="shared" ca="1" si="15"/>
        <v>NE</v>
      </c>
    </row>
    <row r="474" spans="1:12" ht="27" thickBot="1">
      <c r="A474" s="72"/>
      <c r="B474" s="74"/>
      <c r="C474" s="71"/>
      <c r="D474" s="71"/>
      <c r="E474" s="72"/>
      <c r="F474" s="70"/>
      <c r="G474" s="72" t="str">
        <f t="shared" ca="1" si="14"/>
        <v/>
      </c>
      <c r="H474" s="72"/>
      <c r="I474" s="71"/>
      <c r="L474" s="55" t="str">
        <f t="shared" ca="1" si="15"/>
        <v>NE</v>
      </c>
    </row>
    <row r="475" spans="1:12" ht="27" thickBot="1">
      <c r="A475" s="72"/>
      <c r="B475" s="74"/>
      <c r="C475" s="71"/>
      <c r="D475" s="71"/>
      <c r="E475" s="72"/>
      <c r="F475" s="70"/>
      <c r="G475" s="72" t="str">
        <f t="shared" ca="1" si="14"/>
        <v/>
      </c>
      <c r="H475" s="72"/>
      <c r="I475" s="71"/>
      <c r="L475" s="55" t="str">
        <f t="shared" ca="1" si="15"/>
        <v>NE</v>
      </c>
    </row>
    <row r="476" spans="1:12" ht="27" thickBot="1">
      <c r="A476" s="72"/>
      <c r="B476" s="74"/>
      <c r="C476" s="71"/>
      <c r="D476" s="71"/>
      <c r="E476" s="72"/>
      <c r="F476" s="70"/>
      <c r="G476" s="72" t="str">
        <f t="shared" ca="1" si="14"/>
        <v/>
      </c>
      <c r="H476" s="72"/>
      <c r="I476" s="71"/>
      <c r="L476" s="55" t="str">
        <f t="shared" ca="1" si="15"/>
        <v>NE</v>
      </c>
    </row>
    <row r="477" spans="1:12" ht="27" thickBot="1">
      <c r="A477" s="72"/>
      <c r="B477" s="74"/>
      <c r="C477" s="71"/>
      <c r="D477" s="71"/>
      <c r="E477" s="72"/>
      <c r="F477" s="70"/>
      <c r="G477" s="72" t="str">
        <f t="shared" ca="1" si="14"/>
        <v/>
      </c>
      <c r="H477" s="72"/>
      <c r="I477" s="71"/>
      <c r="L477" s="55" t="str">
        <f t="shared" ca="1" si="15"/>
        <v>NE</v>
      </c>
    </row>
    <row r="478" spans="1:12" ht="27" thickBot="1">
      <c r="A478" s="72"/>
      <c r="B478" s="74"/>
      <c r="C478" s="71"/>
      <c r="D478" s="71"/>
      <c r="E478" s="72"/>
      <c r="F478" s="70"/>
      <c r="G478" s="72" t="str">
        <f t="shared" ca="1" si="14"/>
        <v/>
      </c>
      <c r="H478" s="72"/>
      <c r="I478" s="71"/>
      <c r="L478" s="55" t="str">
        <f t="shared" ca="1" si="15"/>
        <v>NE</v>
      </c>
    </row>
    <row r="479" spans="1:12" ht="27" thickBot="1">
      <c r="A479" s="72"/>
      <c r="B479" s="74"/>
      <c r="C479" s="71"/>
      <c r="D479" s="71"/>
      <c r="E479" s="72"/>
      <c r="F479" s="70"/>
      <c r="G479" s="72" t="str">
        <f t="shared" ca="1" si="14"/>
        <v/>
      </c>
      <c r="H479" s="72"/>
      <c r="I479" s="71"/>
      <c r="L479" s="55" t="str">
        <f t="shared" ca="1" si="15"/>
        <v>NE</v>
      </c>
    </row>
    <row r="480" spans="1:12" ht="27" thickBot="1">
      <c r="A480" s="72"/>
      <c r="B480" s="74"/>
      <c r="C480" s="71"/>
      <c r="D480" s="71"/>
      <c r="E480" s="72"/>
      <c r="F480" s="70"/>
      <c r="G480" s="72" t="str">
        <f t="shared" ca="1" si="14"/>
        <v/>
      </c>
      <c r="H480" s="72"/>
      <c r="I480" s="71"/>
      <c r="L480" s="55" t="str">
        <f t="shared" ca="1" si="15"/>
        <v>NE</v>
      </c>
    </row>
    <row r="481" spans="1:12" ht="27" thickBot="1">
      <c r="A481" s="72"/>
      <c r="B481" s="74"/>
      <c r="C481" s="71"/>
      <c r="D481" s="71"/>
      <c r="E481" s="72"/>
      <c r="F481" s="70"/>
      <c r="G481" s="72" t="str">
        <f t="shared" ca="1" si="14"/>
        <v/>
      </c>
      <c r="H481" s="72"/>
      <c r="I481" s="71"/>
      <c r="L481" s="55" t="str">
        <f t="shared" ca="1" si="15"/>
        <v>NE</v>
      </c>
    </row>
    <row r="482" spans="1:12" ht="27" thickBot="1">
      <c r="A482" s="72"/>
      <c r="B482" s="74"/>
      <c r="C482" s="71"/>
      <c r="D482" s="71"/>
      <c r="E482" s="72"/>
      <c r="F482" s="70"/>
      <c r="G482" s="72" t="str">
        <f t="shared" ca="1" si="14"/>
        <v/>
      </c>
      <c r="H482" s="72"/>
      <c r="I482" s="71"/>
      <c r="L482" s="55" t="str">
        <f t="shared" ca="1" si="15"/>
        <v>NE</v>
      </c>
    </row>
    <row r="483" spans="1:12" ht="27" thickBot="1">
      <c r="A483" s="72"/>
      <c r="B483" s="74"/>
      <c r="C483" s="71"/>
      <c r="D483" s="71"/>
      <c r="E483" s="72"/>
      <c r="F483" s="70"/>
      <c r="G483" s="72" t="str">
        <f t="shared" ca="1" si="14"/>
        <v/>
      </c>
      <c r="H483" s="72"/>
      <c r="I483" s="71"/>
      <c r="L483" s="55" t="str">
        <f t="shared" ca="1" si="15"/>
        <v>NE</v>
      </c>
    </row>
    <row r="484" spans="1:12" ht="27" thickBot="1">
      <c r="A484" s="72"/>
      <c r="B484" s="74"/>
      <c r="C484" s="71"/>
      <c r="D484" s="71"/>
      <c r="E484" s="72"/>
      <c r="F484" s="70"/>
      <c r="G484" s="72" t="str">
        <f t="shared" ca="1" si="14"/>
        <v/>
      </c>
      <c r="H484" s="72"/>
      <c r="I484" s="71"/>
      <c r="L484" s="55" t="str">
        <f t="shared" ca="1" si="15"/>
        <v>NE</v>
      </c>
    </row>
    <row r="485" spans="1:12" ht="27" thickBot="1">
      <c r="A485" s="72"/>
      <c r="B485" s="74"/>
      <c r="C485" s="71"/>
      <c r="D485" s="71"/>
      <c r="E485" s="72"/>
      <c r="F485" s="70"/>
      <c r="G485" s="72" t="str">
        <f t="shared" ca="1" si="14"/>
        <v/>
      </c>
      <c r="H485" s="72"/>
      <c r="I485" s="71"/>
      <c r="L485" s="55" t="str">
        <f t="shared" ca="1" si="15"/>
        <v>NE</v>
      </c>
    </row>
    <row r="486" spans="1:12" ht="27" thickBot="1">
      <c r="A486" s="72"/>
      <c r="B486" s="74"/>
      <c r="C486" s="71"/>
      <c r="D486" s="71"/>
      <c r="E486" s="72"/>
      <c r="F486" s="70"/>
      <c r="G486" s="72" t="str">
        <f t="shared" ca="1" si="14"/>
        <v/>
      </c>
      <c r="H486" s="72"/>
      <c r="I486" s="71"/>
      <c r="L486" s="55" t="str">
        <f t="shared" ca="1" si="15"/>
        <v>NE</v>
      </c>
    </row>
    <row r="487" spans="1:12" ht="27" thickBot="1">
      <c r="A487" s="72"/>
      <c r="B487" s="74"/>
      <c r="C487" s="71"/>
      <c r="D487" s="71"/>
      <c r="E487" s="72"/>
      <c r="F487" s="70"/>
      <c r="G487" s="72" t="str">
        <f t="shared" ca="1" si="14"/>
        <v/>
      </c>
      <c r="H487" s="72"/>
      <c r="I487" s="71"/>
      <c r="L487" s="55" t="str">
        <f t="shared" ca="1" si="15"/>
        <v>NE</v>
      </c>
    </row>
    <row r="488" spans="1:12" ht="27" thickBot="1">
      <c r="A488" s="72"/>
      <c r="B488" s="74"/>
      <c r="C488" s="71"/>
      <c r="D488" s="71"/>
      <c r="E488" s="72"/>
      <c r="F488" s="70"/>
      <c r="G488" s="72" t="str">
        <f t="shared" ca="1" si="14"/>
        <v/>
      </c>
      <c r="H488" s="72"/>
      <c r="I488" s="71"/>
      <c r="L488" s="55" t="str">
        <f t="shared" ca="1" si="15"/>
        <v>NE</v>
      </c>
    </row>
    <row r="489" spans="1:12" ht="27" thickBot="1">
      <c r="A489" s="72"/>
      <c r="B489" s="74"/>
      <c r="C489" s="71"/>
      <c r="D489" s="71"/>
      <c r="E489" s="72"/>
      <c r="F489" s="70"/>
      <c r="G489" s="72" t="str">
        <f t="shared" ca="1" si="14"/>
        <v/>
      </c>
      <c r="H489" s="72"/>
      <c r="I489" s="71"/>
      <c r="L489" s="55" t="str">
        <f t="shared" ca="1" si="15"/>
        <v>NE</v>
      </c>
    </row>
    <row r="490" spans="1:12" ht="27" thickBot="1">
      <c r="A490" s="72"/>
      <c r="B490" s="74"/>
      <c r="C490" s="71"/>
      <c r="D490" s="71"/>
      <c r="E490" s="72"/>
      <c r="F490" s="70"/>
      <c r="G490" s="72" t="str">
        <f t="shared" ca="1" si="14"/>
        <v/>
      </c>
      <c r="H490" s="72"/>
      <c r="I490" s="71"/>
      <c r="L490" s="55" t="str">
        <f t="shared" ca="1" si="15"/>
        <v>NE</v>
      </c>
    </row>
    <row r="491" spans="1:12" ht="27" thickBot="1">
      <c r="A491" s="72"/>
      <c r="B491" s="74"/>
      <c r="C491" s="71"/>
      <c r="D491" s="71"/>
      <c r="E491" s="72"/>
      <c r="F491" s="70"/>
      <c r="G491" s="72" t="str">
        <f t="shared" ca="1" si="14"/>
        <v/>
      </c>
      <c r="H491" s="72"/>
      <c r="I491" s="71"/>
      <c r="L491" s="55" t="str">
        <f t="shared" ca="1" si="15"/>
        <v>NE</v>
      </c>
    </row>
    <row r="492" spans="1:12" ht="27" thickBot="1">
      <c r="A492" s="72"/>
      <c r="B492" s="74"/>
      <c r="C492" s="71"/>
      <c r="D492" s="71"/>
      <c r="E492" s="72"/>
      <c r="F492" s="70"/>
      <c r="G492" s="72" t="str">
        <f t="shared" ca="1" si="14"/>
        <v/>
      </c>
      <c r="H492" s="72"/>
      <c r="I492" s="71"/>
      <c r="L492" s="55" t="str">
        <f t="shared" ca="1" si="15"/>
        <v>NE</v>
      </c>
    </row>
    <row r="493" spans="1:12" ht="27" thickBot="1">
      <c r="A493" s="72"/>
      <c r="B493" s="74"/>
      <c r="C493" s="71"/>
      <c r="D493" s="71"/>
      <c r="E493" s="72"/>
      <c r="F493" s="70"/>
      <c r="G493" s="72" t="str">
        <f t="shared" ca="1" si="14"/>
        <v/>
      </c>
      <c r="H493" s="72"/>
      <c r="I493" s="71"/>
      <c r="L493" s="55" t="str">
        <f t="shared" ca="1" si="15"/>
        <v>NE</v>
      </c>
    </row>
    <row r="494" spans="1:12" ht="27" thickBot="1">
      <c r="A494" s="72"/>
      <c r="B494" s="74"/>
      <c r="C494" s="71"/>
      <c r="D494" s="71"/>
      <c r="E494" s="72"/>
      <c r="F494" s="70"/>
      <c r="G494" s="72" t="str">
        <f t="shared" ref="G494:G557" ca="1" si="16">IF(ISBLANK(F494),"",IF(F494&gt;=TODAY(), "Non Echue", "Echue"))</f>
        <v/>
      </c>
      <c r="H494" s="72"/>
      <c r="I494" s="71"/>
      <c r="L494" s="55" t="str">
        <f t="shared" ref="L494:L557" ca="1" si="17" xml:space="preserve"> IF(G494 = "Echue",IF(H494 = "Appliqué","EAP","NAP"),"NE")</f>
        <v>NE</v>
      </c>
    </row>
    <row r="495" spans="1:12" ht="27" thickBot="1">
      <c r="A495" s="72"/>
      <c r="B495" s="74"/>
      <c r="C495" s="71"/>
      <c r="D495" s="71"/>
      <c r="E495" s="72"/>
      <c r="F495" s="70"/>
      <c r="G495" s="72" t="str">
        <f t="shared" ca="1" si="16"/>
        <v/>
      </c>
      <c r="H495" s="72"/>
      <c r="I495" s="71"/>
      <c r="L495" s="55" t="str">
        <f t="shared" ca="1" si="17"/>
        <v>NE</v>
      </c>
    </row>
    <row r="496" spans="1:12" ht="27" thickBot="1">
      <c r="A496" s="72"/>
      <c r="B496" s="74"/>
      <c r="C496" s="71"/>
      <c r="D496" s="71"/>
      <c r="E496" s="72"/>
      <c r="F496" s="70"/>
      <c r="G496" s="72" t="str">
        <f t="shared" ca="1" si="16"/>
        <v/>
      </c>
      <c r="H496" s="72"/>
      <c r="I496" s="71"/>
      <c r="L496" s="55" t="str">
        <f t="shared" ca="1" si="17"/>
        <v>NE</v>
      </c>
    </row>
    <row r="497" spans="1:12" ht="27" thickBot="1">
      <c r="A497" s="72"/>
      <c r="B497" s="74"/>
      <c r="C497" s="71"/>
      <c r="D497" s="71"/>
      <c r="E497" s="72"/>
      <c r="F497" s="70"/>
      <c r="G497" s="72" t="str">
        <f t="shared" ca="1" si="16"/>
        <v/>
      </c>
      <c r="H497" s="72"/>
      <c r="I497" s="71"/>
      <c r="L497" s="55" t="str">
        <f t="shared" ca="1" si="17"/>
        <v>NE</v>
      </c>
    </row>
    <row r="498" spans="1:12" ht="27" thickBot="1">
      <c r="A498" s="72"/>
      <c r="B498" s="74"/>
      <c r="C498" s="71"/>
      <c r="D498" s="71"/>
      <c r="E498" s="72"/>
      <c r="F498" s="70"/>
      <c r="G498" s="72" t="str">
        <f t="shared" ca="1" si="16"/>
        <v/>
      </c>
      <c r="H498" s="72"/>
      <c r="I498" s="71"/>
      <c r="L498" s="55" t="str">
        <f t="shared" ca="1" si="17"/>
        <v>NE</v>
      </c>
    </row>
    <row r="499" spans="1:12" ht="27" thickBot="1">
      <c r="A499" s="72"/>
      <c r="B499" s="74"/>
      <c r="C499" s="71"/>
      <c r="D499" s="71"/>
      <c r="E499" s="72"/>
      <c r="F499" s="70"/>
      <c r="G499" s="72" t="str">
        <f t="shared" ca="1" si="16"/>
        <v/>
      </c>
      <c r="H499" s="72"/>
      <c r="I499" s="71"/>
      <c r="L499" s="55" t="str">
        <f t="shared" ca="1" si="17"/>
        <v>NE</v>
      </c>
    </row>
    <row r="500" spans="1:12" ht="27" thickBot="1">
      <c r="A500" s="72"/>
      <c r="B500" s="74"/>
      <c r="C500" s="71"/>
      <c r="D500" s="71"/>
      <c r="E500" s="72"/>
      <c r="F500" s="70"/>
      <c r="G500" s="72" t="str">
        <f t="shared" ca="1" si="16"/>
        <v/>
      </c>
      <c r="H500" s="72"/>
      <c r="I500" s="71"/>
      <c r="L500" s="55" t="str">
        <f t="shared" ca="1" si="17"/>
        <v>NE</v>
      </c>
    </row>
    <row r="501" spans="1:12" ht="27" thickBot="1">
      <c r="A501" s="72"/>
      <c r="B501" s="74"/>
      <c r="C501" s="71"/>
      <c r="D501" s="71"/>
      <c r="E501" s="72"/>
      <c r="F501" s="70"/>
      <c r="G501" s="72" t="str">
        <f t="shared" ca="1" si="16"/>
        <v/>
      </c>
      <c r="H501" s="72"/>
      <c r="I501" s="71"/>
      <c r="L501" s="55" t="str">
        <f t="shared" ca="1" si="17"/>
        <v>NE</v>
      </c>
    </row>
    <row r="502" spans="1:12" ht="27" thickBot="1">
      <c r="A502" s="72"/>
      <c r="B502" s="74"/>
      <c r="C502" s="71"/>
      <c r="D502" s="71"/>
      <c r="E502" s="72"/>
      <c r="F502" s="70"/>
      <c r="G502" s="72" t="str">
        <f t="shared" ca="1" si="16"/>
        <v/>
      </c>
      <c r="H502" s="72"/>
      <c r="I502" s="71"/>
      <c r="L502" s="55" t="str">
        <f t="shared" ca="1" si="17"/>
        <v>NE</v>
      </c>
    </row>
    <row r="503" spans="1:12" ht="27" thickBot="1">
      <c r="A503" s="72"/>
      <c r="B503" s="74"/>
      <c r="C503" s="71"/>
      <c r="D503" s="71"/>
      <c r="E503" s="72"/>
      <c r="F503" s="70"/>
      <c r="G503" s="72" t="str">
        <f t="shared" ca="1" si="16"/>
        <v/>
      </c>
      <c r="H503" s="72"/>
      <c r="I503" s="71"/>
      <c r="L503" s="55" t="str">
        <f t="shared" ca="1" si="17"/>
        <v>NE</v>
      </c>
    </row>
    <row r="504" spans="1:12" ht="27" thickBot="1">
      <c r="A504" s="72"/>
      <c r="B504" s="74"/>
      <c r="C504" s="71"/>
      <c r="D504" s="71"/>
      <c r="E504" s="72"/>
      <c r="F504" s="70"/>
      <c r="G504" s="72" t="str">
        <f t="shared" ca="1" si="16"/>
        <v/>
      </c>
      <c r="H504" s="72"/>
      <c r="I504" s="71"/>
      <c r="L504" s="55" t="str">
        <f t="shared" ca="1" si="17"/>
        <v>NE</v>
      </c>
    </row>
    <row r="505" spans="1:12" ht="27" thickBot="1">
      <c r="A505" s="72"/>
      <c r="B505" s="74"/>
      <c r="C505" s="71"/>
      <c r="D505" s="71"/>
      <c r="E505" s="72"/>
      <c r="F505" s="70"/>
      <c r="G505" s="72" t="str">
        <f t="shared" ca="1" si="16"/>
        <v/>
      </c>
      <c r="H505" s="72"/>
      <c r="I505" s="71"/>
      <c r="L505" s="55" t="str">
        <f t="shared" ca="1" si="17"/>
        <v>NE</v>
      </c>
    </row>
    <row r="506" spans="1:12" ht="27" thickBot="1">
      <c r="A506" s="72"/>
      <c r="B506" s="74"/>
      <c r="C506" s="71"/>
      <c r="D506" s="71"/>
      <c r="E506" s="72"/>
      <c r="F506" s="70"/>
      <c r="G506" s="72" t="str">
        <f t="shared" ca="1" si="16"/>
        <v/>
      </c>
      <c r="H506" s="72"/>
      <c r="I506" s="71"/>
      <c r="L506" s="55" t="str">
        <f t="shared" ca="1" si="17"/>
        <v>NE</v>
      </c>
    </row>
    <row r="507" spans="1:12" ht="27" thickBot="1">
      <c r="A507" s="72"/>
      <c r="B507" s="74"/>
      <c r="C507" s="71"/>
      <c r="D507" s="71"/>
      <c r="E507" s="72"/>
      <c r="F507" s="70"/>
      <c r="G507" s="72" t="str">
        <f t="shared" ca="1" si="16"/>
        <v/>
      </c>
      <c r="H507" s="72"/>
      <c r="I507" s="71"/>
      <c r="L507" s="55" t="str">
        <f t="shared" ca="1" si="17"/>
        <v>NE</v>
      </c>
    </row>
    <row r="508" spans="1:12" ht="27" thickBot="1">
      <c r="A508" s="72"/>
      <c r="B508" s="74"/>
      <c r="C508" s="71"/>
      <c r="D508" s="71"/>
      <c r="E508" s="72"/>
      <c r="F508" s="70"/>
      <c r="G508" s="72" t="str">
        <f t="shared" ca="1" si="16"/>
        <v/>
      </c>
      <c r="H508" s="72"/>
      <c r="I508" s="71"/>
      <c r="L508" s="55" t="str">
        <f t="shared" ca="1" si="17"/>
        <v>NE</v>
      </c>
    </row>
    <row r="509" spans="1:12" ht="27" thickBot="1">
      <c r="A509" s="72"/>
      <c r="B509" s="74"/>
      <c r="C509" s="71"/>
      <c r="D509" s="71"/>
      <c r="E509" s="72"/>
      <c r="F509" s="70"/>
      <c r="G509" s="72" t="str">
        <f t="shared" ca="1" si="16"/>
        <v/>
      </c>
      <c r="H509" s="72"/>
      <c r="I509" s="71"/>
      <c r="L509" s="55" t="str">
        <f t="shared" ca="1" si="17"/>
        <v>NE</v>
      </c>
    </row>
    <row r="510" spans="1:12" ht="27" thickBot="1">
      <c r="A510" s="72"/>
      <c r="B510" s="74"/>
      <c r="C510" s="71"/>
      <c r="D510" s="71"/>
      <c r="E510" s="72"/>
      <c r="F510" s="70"/>
      <c r="G510" s="72" t="str">
        <f t="shared" ca="1" si="16"/>
        <v/>
      </c>
      <c r="H510" s="72"/>
      <c r="I510" s="71"/>
      <c r="L510" s="55" t="str">
        <f t="shared" ca="1" si="17"/>
        <v>NE</v>
      </c>
    </row>
    <row r="511" spans="1:12" ht="27" thickBot="1">
      <c r="A511" s="72"/>
      <c r="B511" s="74"/>
      <c r="C511" s="71"/>
      <c r="D511" s="71"/>
      <c r="E511" s="72"/>
      <c r="F511" s="70"/>
      <c r="G511" s="72" t="str">
        <f t="shared" ca="1" si="16"/>
        <v/>
      </c>
      <c r="H511" s="72"/>
      <c r="I511" s="71"/>
      <c r="L511" s="55" t="str">
        <f t="shared" ca="1" si="17"/>
        <v>NE</v>
      </c>
    </row>
    <row r="512" spans="1:12" ht="27" thickBot="1">
      <c r="A512" s="72"/>
      <c r="B512" s="74"/>
      <c r="C512" s="71"/>
      <c r="D512" s="71"/>
      <c r="E512" s="72"/>
      <c r="F512" s="70"/>
      <c r="G512" s="72" t="str">
        <f t="shared" ca="1" si="16"/>
        <v/>
      </c>
      <c r="H512" s="72"/>
      <c r="I512" s="71"/>
      <c r="L512" s="55" t="str">
        <f t="shared" ca="1" si="17"/>
        <v>NE</v>
      </c>
    </row>
    <row r="513" spans="1:12" ht="27" thickBot="1">
      <c r="A513" s="72"/>
      <c r="B513" s="74"/>
      <c r="C513" s="71"/>
      <c r="D513" s="71"/>
      <c r="E513" s="72"/>
      <c r="F513" s="70"/>
      <c r="G513" s="72" t="str">
        <f t="shared" ca="1" si="16"/>
        <v/>
      </c>
      <c r="H513" s="72"/>
      <c r="I513" s="71"/>
      <c r="L513" s="55" t="str">
        <f t="shared" ca="1" si="17"/>
        <v>NE</v>
      </c>
    </row>
    <row r="514" spans="1:12" ht="27" thickBot="1">
      <c r="A514" s="72"/>
      <c r="B514" s="74"/>
      <c r="C514" s="71"/>
      <c r="D514" s="71"/>
      <c r="E514" s="72"/>
      <c r="F514" s="70"/>
      <c r="G514" s="72" t="str">
        <f t="shared" ca="1" si="16"/>
        <v/>
      </c>
      <c r="H514" s="72"/>
      <c r="I514" s="71"/>
      <c r="L514" s="55" t="str">
        <f t="shared" ca="1" si="17"/>
        <v>NE</v>
      </c>
    </row>
    <row r="515" spans="1:12" ht="27" thickBot="1">
      <c r="A515" s="72"/>
      <c r="B515" s="74"/>
      <c r="C515" s="71"/>
      <c r="D515" s="71"/>
      <c r="E515" s="72"/>
      <c r="F515" s="70"/>
      <c r="G515" s="72" t="str">
        <f t="shared" ca="1" si="16"/>
        <v/>
      </c>
      <c r="H515" s="72"/>
      <c r="I515" s="71"/>
      <c r="L515" s="55" t="str">
        <f t="shared" ca="1" si="17"/>
        <v>NE</v>
      </c>
    </row>
    <row r="516" spans="1:12" ht="27" thickBot="1">
      <c r="A516" s="72"/>
      <c r="B516" s="74"/>
      <c r="C516" s="71"/>
      <c r="D516" s="71"/>
      <c r="E516" s="72"/>
      <c r="F516" s="70"/>
      <c r="G516" s="72" t="str">
        <f t="shared" ca="1" si="16"/>
        <v/>
      </c>
      <c r="H516" s="72"/>
      <c r="I516" s="71"/>
      <c r="L516" s="55" t="str">
        <f t="shared" ca="1" si="17"/>
        <v>NE</v>
      </c>
    </row>
    <row r="517" spans="1:12" ht="27" thickBot="1">
      <c r="A517" s="72"/>
      <c r="B517" s="74"/>
      <c r="C517" s="71"/>
      <c r="D517" s="71"/>
      <c r="E517" s="72"/>
      <c r="F517" s="70"/>
      <c r="G517" s="72" t="str">
        <f t="shared" ca="1" si="16"/>
        <v/>
      </c>
      <c r="H517" s="72"/>
      <c r="I517" s="71"/>
      <c r="L517" s="55" t="str">
        <f t="shared" ca="1" si="17"/>
        <v>NE</v>
      </c>
    </row>
    <row r="518" spans="1:12" ht="27" thickBot="1">
      <c r="A518" s="72"/>
      <c r="B518" s="74"/>
      <c r="C518" s="71"/>
      <c r="D518" s="71"/>
      <c r="E518" s="72"/>
      <c r="F518" s="70"/>
      <c r="G518" s="72" t="str">
        <f t="shared" ca="1" si="16"/>
        <v/>
      </c>
      <c r="H518" s="72"/>
      <c r="I518" s="71"/>
      <c r="L518" s="55" t="str">
        <f t="shared" ca="1" si="17"/>
        <v>NE</v>
      </c>
    </row>
    <row r="519" spans="1:12" ht="27" thickBot="1">
      <c r="A519" s="72"/>
      <c r="B519" s="74"/>
      <c r="C519" s="71"/>
      <c r="D519" s="71"/>
      <c r="E519" s="72"/>
      <c r="F519" s="70"/>
      <c r="G519" s="72" t="str">
        <f t="shared" ca="1" si="16"/>
        <v/>
      </c>
      <c r="H519" s="72"/>
      <c r="I519" s="71"/>
      <c r="L519" s="55" t="str">
        <f t="shared" ca="1" si="17"/>
        <v>NE</v>
      </c>
    </row>
    <row r="520" spans="1:12" ht="27" thickBot="1">
      <c r="A520" s="72"/>
      <c r="B520" s="74"/>
      <c r="C520" s="71"/>
      <c r="D520" s="71"/>
      <c r="E520" s="72"/>
      <c r="F520" s="70"/>
      <c r="G520" s="72" t="str">
        <f t="shared" ca="1" si="16"/>
        <v/>
      </c>
      <c r="H520" s="72"/>
      <c r="I520" s="71"/>
      <c r="L520" s="55" t="str">
        <f t="shared" ca="1" si="17"/>
        <v>NE</v>
      </c>
    </row>
    <row r="521" spans="1:12" ht="27" thickBot="1">
      <c r="A521" s="72"/>
      <c r="B521" s="74"/>
      <c r="C521" s="71"/>
      <c r="D521" s="71"/>
      <c r="E521" s="72"/>
      <c r="F521" s="70"/>
      <c r="G521" s="72" t="str">
        <f t="shared" ca="1" si="16"/>
        <v/>
      </c>
      <c r="H521" s="72"/>
      <c r="I521" s="71"/>
      <c r="L521" s="55" t="str">
        <f t="shared" ca="1" si="17"/>
        <v>NE</v>
      </c>
    </row>
    <row r="522" spans="1:12" ht="27" thickBot="1">
      <c r="A522" s="72"/>
      <c r="B522" s="74"/>
      <c r="C522" s="71"/>
      <c r="D522" s="71"/>
      <c r="E522" s="72"/>
      <c r="F522" s="70"/>
      <c r="G522" s="72" t="str">
        <f t="shared" ca="1" si="16"/>
        <v/>
      </c>
      <c r="H522" s="72"/>
      <c r="I522" s="71"/>
      <c r="L522" s="55" t="str">
        <f t="shared" ca="1" si="17"/>
        <v>NE</v>
      </c>
    </row>
    <row r="523" spans="1:12" ht="27" thickBot="1">
      <c r="A523" s="72"/>
      <c r="B523" s="74"/>
      <c r="C523" s="71"/>
      <c r="D523" s="71"/>
      <c r="E523" s="72"/>
      <c r="F523" s="70"/>
      <c r="G523" s="72" t="str">
        <f t="shared" ca="1" si="16"/>
        <v/>
      </c>
      <c r="H523" s="72"/>
      <c r="I523" s="71"/>
      <c r="L523" s="55" t="str">
        <f t="shared" ca="1" si="17"/>
        <v>NE</v>
      </c>
    </row>
    <row r="524" spans="1:12" ht="27" thickBot="1">
      <c r="A524" s="72"/>
      <c r="B524" s="74"/>
      <c r="C524" s="71"/>
      <c r="D524" s="71"/>
      <c r="E524" s="72"/>
      <c r="F524" s="70"/>
      <c r="G524" s="72" t="str">
        <f t="shared" ca="1" si="16"/>
        <v/>
      </c>
      <c r="H524" s="72"/>
      <c r="I524" s="71"/>
      <c r="L524" s="55" t="str">
        <f t="shared" ca="1" si="17"/>
        <v>NE</v>
      </c>
    </row>
    <row r="525" spans="1:12" ht="27" thickBot="1">
      <c r="A525" s="72"/>
      <c r="B525" s="74"/>
      <c r="C525" s="71"/>
      <c r="D525" s="71"/>
      <c r="E525" s="72"/>
      <c r="F525" s="70"/>
      <c r="G525" s="72" t="str">
        <f t="shared" ca="1" si="16"/>
        <v/>
      </c>
      <c r="H525" s="72"/>
      <c r="I525" s="71"/>
      <c r="L525" s="55" t="str">
        <f t="shared" ca="1" si="17"/>
        <v>NE</v>
      </c>
    </row>
    <row r="526" spans="1:12" ht="27" thickBot="1">
      <c r="A526" s="72"/>
      <c r="B526" s="74"/>
      <c r="C526" s="71"/>
      <c r="D526" s="71"/>
      <c r="E526" s="72"/>
      <c r="F526" s="70"/>
      <c r="G526" s="72" t="str">
        <f t="shared" ca="1" si="16"/>
        <v/>
      </c>
      <c r="H526" s="72"/>
      <c r="I526" s="71"/>
      <c r="L526" s="55" t="str">
        <f t="shared" ca="1" si="17"/>
        <v>NE</v>
      </c>
    </row>
    <row r="527" spans="1:12" ht="27" thickBot="1">
      <c r="A527" s="72"/>
      <c r="B527" s="74"/>
      <c r="C527" s="71"/>
      <c r="D527" s="71"/>
      <c r="E527" s="72"/>
      <c r="F527" s="70"/>
      <c r="G527" s="72" t="str">
        <f t="shared" ca="1" si="16"/>
        <v/>
      </c>
      <c r="H527" s="72"/>
      <c r="I527" s="71"/>
      <c r="L527" s="55" t="str">
        <f t="shared" ca="1" si="17"/>
        <v>NE</v>
      </c>
    </row>
    <row r="528" spans="1:12" ht="27" thickBot="1">
      <c r="A528" s="72"/>
      <c r="B528" s="74"/>
      <c r="C528" s="71"/>
      <c r="D528" s="71"/>
      <c r="E528" s="72"/>
      <c r="F528" s="70"/>
      <c r="G528" s="72" t="str">
        <f t="shared" ca="1" si="16"/>
        <v/>
      </c>
      <c r="H528" s="72"/>
      <c r="I528" s="71"/>
      <c r="L528" s="55" t="str">
        <f t="shared" ca="1" si="17"/>
        <v>NE</v>
      </c>
    </row>
    <row r="529" spans="1:12" ht="27" thickBot="1">
      <c r="A529" s="72"/>
      <c r="B529" s="74"/>
      <c r="C529" s="71"/>
      <c r="D529" s="71"/>
      <c r="E529" s="72"/>
      <c r="F529" s="70"/>
      <c r="G529" s="72" t="str">
        <f t="shared" ca="1" si="16"/>
        <v/>
      </c>
      <c r="H529" s="72"/>
      <c r="I529" s="71"/>
      <c r="L529" s="55" t="str">
        <f t="shared" ca="1" si="17"/>
        <v>NE</v>
      </c>
    </row>
    <row r="530" spans="1:12" ht="27" thickBot="1">
      <c r="A530" s="72"/>
      <c r="B530" s="74"/>
      <c r="C530" s="71"/>
      <c r="D530" s="71"/>
      <c r="E530" s="72"/>
      <c r="F530" s="70"/>
      <c r="G530" s="72" t="str">
        <f t="shared" ca="1" si="16"/>
        <v/>
      </c>
      <c r="H530" s="72"/>
      <c r="I530" s="71"/>
      <c r="L530" s="55" t="str">
        <f t="shared" ca="1" si="17"/>
        <v>NE</v>
      </c>
    </row>
    <row r="531" spans="1:12" ht="27" thickBot="1">
      <c r="A531" s="72"/>
      <c r="B531" s="74"/>
      <c r="C531" s="71"/>
      <c r="D531" s="71"/>
      <c r="E531" s="72"/>
      <c r="F531" s="70"/>
      <c r="G531" s="72" t="str">
        <f t="shared" ca="1" si="16"/>
        <v/>
      </c>
      <c r="H531" s="72"/>
      <c r="I531" s="71"/>
      <c r="L531" s="55" t="str">
        <f t="shared" ca="1" si="17"/>
        <v>NE</v>
      </c>
    </row>
    <row r="532" spans="1:12" ht="27" thickBot="1">
      <c r="A532" s="72"/>
      <c r="B532" s="74"/>
      <c r="C532" s="71"/>
      <c r="D532" s="71"/>
      <c r="E532" s="72"/>
      <c r="F532" s="70"/>
      <c r="G532" s="72" t="str">
        <f t="shared" ca="1" si="16"/>
        <v/>
      </c>
      <c r="H532" s="72"/>
      <c r="I532" s="71"/>
      <c r="L532" s="55" t="str">
        <f t="shared" ca="1" si="17"/>
        <v>NE</v>
      </c>
    </row>
    <row r="533" spans="1:12" ht="27" thickBot="1">
      <c r="A533" s="72"/>
      <c r="B533" s="74"/>
      <c r="C533" s="71"/>
      <c r="D533" s="71"/>
      <c r="E533" s="72"/>
      <c r="F533" s="70"/>
      <c r="G533" s="72" t="str">
        <f t="shared" ca="1" si="16"/>
        <v/>
      </c>
      <c r="H533" s="72"/>
      <c r="I533" s="71"/>
      <c r="L533" s="55" t="str">
        <f t="shared" ca="1" si="17"/>
        <v>NE</v>
      </c>
    </row>
    <row r="534" spans="1:12" ht="27" thickBot="1">
      <c r="A534" s="72"/>
      <c r="B534" s="74"/>
      <c r="C534" s="71"/>
      <c r="D534" s="71"/>
      <c r="E534" s="72"/>
      <c r="F534" s="70"/>
      <c r="G534" s="72" t="str">
        <f t="shared" ca="1" si="16"/>
        <v/>
      </c>
      <c r="H534" s="72"/>
      <c r="I534" s="71"/>
      <c r="L534" s="55" t="str">
        <f t="shared" ca="1" si="17"/>
        <v>NE</v>
      </c>
    </row>
    <row r="535" spans="1:12" ht="27" thickBot="1">
      <c r="A535" s="72"/>
      <c r="B535" s="74"/>
      <c r="C535" s="71"/>
      <c r="D535" s="71"/>
      <c r="E535" s="72"/>
      <c r="F535" s="70"/>
      <c r="G535" s="72" t="str">
        <f t="shared" ca="1" si="16"/>
        <v/>
      </c>
      <c r="H535" s="72"/>
      <c r="I535" s="71"/>
      <c r="L535" s="55" t="str">
        <f t="shared" ca="1" si="17"/>
        <v>NE</v>
      </c>
    </row>
    <row r="536" spans="1:12" ht="27" thickBot="1">
      <c r="A536" s="72"/>
      <c r="B536" s="74"/>
      <c r="C536" s="71"/>
      <c r="D536" s="71"/>
      <c r="E536" s="72"/>
      <c r="F536" s="70"/>
      <c r="G536" s="72" t="str">
        <f t="shared" ca="1" si="16"/>
        <v/>
      </c>
      <c r="H536" s="72"/>
      <c r="I536" s="71"/>
      <c r="L536" s="55" t="str">
        <f t="shared" ca="1" si="17"/>
        <v>NE</v>
      </c>
    </row>
    <row r="537" spans="1:12" ht="27" thickBot="1">
      <c r="A537" s="72"/>
      <c r="B537" s="74"/>
      <c r="C537" s="71"/>
      <c r="D537" s="71"/>
      <c r="E537" s="72"/>
      <c r="F537" s="70"/>
      <c r="G537" s="72" t="str">
        <f t="shared" ca="1" si="16"/>
        <v/>
      </c>
      <c r="H537" s="72"/>
      <c r="I537" s="71"/>
      <c r="L537" s="55" t="str">
        <f t="shared" ca="1" si="17"/>
        <v>NE</v>
      </c>
    </row>
    <row r="538" spans="1:12" ht="27" thickBot="1">
      <c r="A538" s="72"/>
      <c r="B538" s="74"/>
      <c r="C538" s="71"/>
      <c r="D538" s="71"/>
      <c r="E538" s="72"/>
      <c r="F538" s="70"/>
      <c r="G538" s="72" t="str">
        <f t="shared" ca="1" si="16"/>
        <v/>
      </c>
      <c r="H538" s="72"/>
      <c r="I538" s="71"/>
      <c r="L538" s="55" t="str">
        <f t="shared" ca="1" si="17"/>
        <v>NE</v>
      </c>
    </row>
    <row r="539" spans="1:12" ht="27" thickBot="1">
      <c r="A539" s="72"/>
      <c r="B539" s="74"/>
      <c r="C539" s="71"/>
      <c r="D539" s="71"/>
      <c r="E539" s="72"/>
      <c r="F539" s="70"/>
      <c r="G539" s="72" t="str">
        <f t="shared" ca="1" si="16"/>
        <v/>
      </c>
      <c r="H539" s="72"/>
      <c r="I539" s="71"/>
      <c r="L539" s="55" t="str">
        <f t="shared" ca="1" si="17"/>
        <v>NE</v>
      </c>
    </row>
    <row r="540" spans="1:12" ht="27" thickBot="1">
      <c r="A540" s="72"/>
      <c r="B540" s="74"/>
      <c r="C540" s="71"/>
      <c r="D540" s="71"/>
      <c r="E540" s="72"/>
      <c r="F540" s="70"/>
      <c r="G540" s="72" t="str">
        <f t="shared" ca="1" si="16"/>
        <v/>
      </c>
      <c r="H540" s="72"/>
      <c r="I540" s="71"/>
      <c r="L540" s="55" t="str">
        <f t="shared" ca="1" si="17"/>
        <v>NE</v>
      </c>
    </row>
    <row r="541" spans="1:12" ht="27" thickBot="1">
      <c r="A541" s="72"/>
      <c r="B541" s="74"/>
      <c r="C541" s="71"/>
      <c r="D541" s="71"/>
      <c r="E541" s="72"/>
      <c r="F541" s="70"/>
      <c r="G541" s="72" t="str">
        <f t="shared" ca="1" si="16"/>
        <v/>
      </c>
      <c r="H541" s="72"/>
      <c r="I541" s="71"/>
      <c r="L541" s="55" t="str">
        <f t="shared" ca="1" si="17"/>
        <v>NE</v>
      </c>
    </row>
    <row r="542" spans="1:12" ht="27" thickBot="1">
      <c r="A542" s="72"/>
      <c r="B542" s="74"/>
      <c r="C542" s="71"/>
      <c r="D542" s="71"/>
      <c r="E542" s="72"/>
      <c r="F542" s="70"/>
      <c r="G542" s="72" t="str">
        <f t="shared" ca="1" si="16"/>
        <v/>
      </c>
      <c r="H542" s="72"/>
      <c r="I542" s="71"/>
      <c r="L542" s="55" t="str">
        <f t="shared" ca="1" si="17"/>
        <v>NE</v>
      </c>
    </row>
    <row r="543" spans="1:12" ht="27" thickBot="1">
      <c r="A543" s="72"/>
      <c r="B543" s="74"/>
      <c r="C543" s="71"/>
      <c r="D543" s="71"/>
      <c r="E543" s="72"/>
      <c r="F543" s="70"/>
      <c r="G543" s="72" t="str">
        <f t="shared" ca="1" si="16"/>
        <v/>
      </c>
      <c r="H543" s="72"/>
      <c r="I543" s="71"/>
      <c r="L543" s="55" t="str">
        <f t="shared" ca="1" si="17"/>
        <v>NE</v>
      </c>
    </row>
    <row r="544" spans="1:12" ht="27" thickBot="1">
      <c r="A544" s="72"/>
      <c r="B544" s="74"/>
      <c r="C544" s="71"/>
      <c r="D544" s="71"/>
      <c r="E544" s="72"/>
      <c r="F544" s="70"/>
      <c r="G544" s="72" t="str">
        <f t="shared" ca="1" si="16"/>
        <v/>
      </c>
      <c r="H544" s="72"/>
      <c r="I544" s="71"/>
      <c r="L544" s="55" t="str">
        <f t="shared" ca="1" si="17"/>
        <v>NE</v>
      </c>
    </row>
    <row r="545" spans="1:12" ht="27" thickBot="1">
      <c r="A545" s="72"/>
      <c r="B545" s="74"/>
      <c r="C545" s="71"/>
      <c r="D545" s="71"/>
      <c r="E545" s="72"/>
      <c r="F545" s="70"/>
      <c r="G545" s="72" t="str">
        <f t="shared" ca="1" si="16"/>
        <v/>
      </c>
      <c r="H545" s="72"/>
      <c r="I545" s="71"/>
      <c r="L545" s="55" t="str">
        <f t="shared" ca="1" si="17"/>
        <v>NE</v>
      </c>
    </row>
    <row r="546" spans="1:12" ht="27" thickBot="1">
      <c r="A546" s="72"/>
      <c r="B546" s="74"/>
      <c r="C546" s="71"/>
      <c r="D546" s="71"/>
      <c r="E546" s="72"/>
      <c r="F546" s="70"/>
      <c r="G546" s="72" t="str">
        <f t="shared" ca="1" si="16"/>
        <v/>
      </c>
      <c r="H546" s="72"/>
      <c r="I546" s="71"/>
      <c r="L546" s="55" t="str">
        <f t="shared" ca="1" si="17"/>
        <v>NE</v>
      </c>
    </row>
    <row r="547" spans="1:12" ht="27" thickBot="1">
      <c r="A547" s="72"/>
      <c r="B547" s="74"/>
      <c r="C547" s="71"/>
      <c r="D547" s="71"/>
      <c r="E547" s="72"/>
      <c r="F547" s="70"/>
      <c r="G547" s="72" t="str">
        <f t="shared" ca="1" si="16"/>
        <v/>
      </c>
      <c r="H547" s="72"/>
      <c r="I547" s="71"/>
      <c r="L547" s="55" t="str">
        <f t="shared" ca="1" si="17"/>
        <v>NE</v>
      </c>
    </row>
    <row r="548" spans="1:12" ht="27" thickBot="1">
      <c r="A548" s="72"/>
      <c r="B548" s="74"/>
      <c r="C548" s="71"/>
      <c r="D548" s="71"/>
      <c r="E548" s="72"/>
      <c r="F548" s="70"/>
      <c r="G548" s="72" t="str">
        <f t="shared" ca="1" si="16"/>
        <v/>
      </c>
      <c r="H548" s="72"/>
      <c r="I548" s="71"/>
      <c r="L548" s="55" t="str">
        <f t="shared" ca="1" si="17"/>
        <v>NE</v>
      </c>
    </row>
    <row r="549" spans="1:12" ht="27" thickBot="1">
      <c r="A549" s="72"/>
      <c r="B549" s="74"/>
      <c r="C549" s="71"/>
      <c r="D549" s="71"/>
      <c r="E549" s="72"/>
      <c r="F549" s="70"/>
      <c r="G549" s="72" t="str">
        <f t="shared" ca="1" si="16"/>
        <v/>
      </c>
      <c r="H549" s="72"/>
      <c r="I549" s="71"/>
      <c r="L549" s="55" t="str">
        <f t="shared" ca="1" si="17"/>
        <v>NE</v>
      </c>
    </row>
    <row r="550" spans="1:12" ht="27" thickBot="1">
      <c r="A550" s="72"/>
      <c r="B550" s="74"/>
      <c r="C550" s="71"/>
      <c r="D550" s="71"/>
      <c r="E550" s="72"/>
      <c r="F550" s="70"/>
      <c r="G550" s="72" t="str">
        <f t="shared" ca="1" si="16"/>
        <v/>
      </c>
      <c r="H550" s="72"/>
      <c r="I550" s="71"/>
      <c r="L550" s="55" t="str">
        <f t="shared" ca="1" si="17"/>
        <v>NE</v>
      </c>
    </row>
    <row r="551" spans="1:12" ht="27" thickBot="1">
      <c r="A551" s="72"/>
      <c r="B551" s="74"/>
      <c r="C551" s="71"/>
      <c r="D551" s="71"/>
      <c r="E551" s="72"/>
      <c r="F551" s="70"/>
      <c r="G551" s="72" t="str">
        <f t="shared" ca="1" si="16"/>
        <v/>
      </c>
      <c r="H551" s="72"/>
      <c r="I551" s="71"/>
      <c r="L551" s="55" t="str">
        <f t="shared" ca="1" si="17"/>
        <v>NE</v>
      </c>
    </row>
    <row r="552" spans="1:12" ht="27" thickBot="1">
      <c r="A552" s="72"/>
      <c r="B552" s="74"/>
      <c r="C552" s="71"/>
      <c r="D552" s="71"/>
      <c r="E552" s="72"/>
      <c r="F552" s="70"/>
      <c r="G552" s="72" t="str">
        <f t="shared" ca="1" si="16"/>
        <v/>
      </c>
      <c r="H552" s="72"/>
      <c r="I552" s="71"/>
      <c r="L552" s="55" t="str">
        <f t="shared" ca="1" si="17"/>
        <v>NE</v>
      </c>
    </row>
    <row r="553" spans="1:12" ht="27" thickBot="1">
      <c r="A553" s="72"/>
      <c r="B553" s="74"/>
      <c r="C553" s="71"/>
      <c r="D553" s="71"/>
      <c r="E553" s="72"/>
      <c r="F553" s="70"/>
      <c r="G553" s="72" t="str">
        <f t="shared" ca="1" si="16"/>
        <v/>
      </c>
      <c r="H553" s="72"/>
      <c r="I553" s="71"/>
      <c r="L553" s="55" t="str">
        <f t="shared" ca="1" si="17"/>
        <v>NE</v>
      </c>
    </row>
    <row r="554" spans="1:12" ht="27" thickBot="1">
      <c r="A554" s="72"/>
      <c r="B554" s="74"/>
      <c r="C554" s="71"/>
      <c r="D554" s="71"/>
      <c r="E554" s="72"/>
      <c r="F554" s="70"/>
      <c r="G554" s="72" t="str">
        <f t="shared" ca="1" si="16"/>
        <v/>
      </c>
      <c r="H554" s="72"/>
      <c r="I554" s="71"/>
      <c r="L554" s="55" t="str">
        <f t="shared" ca="1" si="17"/>
        <v>NE</v>
      </c>
    </row>
    <row r="555" spans="1:12" ht="27" thickBot="1">
      <c r="A555" s="72"/>
      <c r="B555" s="74"/>
      <c r="C555" s="71"/>
      <c r="D555" s="71"/>
      <c r="E555" s="72"/>
      <c r="F555" s="70"/>
      <c r="G555" s="72" t="str">
        <f t="shared" ca="1" si="16"/>
        <v/>
      </c>
      <c r="H555" s="72"/>
      <c r="I555" s="71"/>
      <c r="L555" s="55" t="str">
        <f t="shared" ca="1" si="17"/>
        <v>NE</v>
      </c>
    </row>
    <row r="556" spans="1:12" ht="27" thickBot="1">
      <c r="A556" s="72"/>
      <c r="B556" s="74"/>
      <c r="C556" s="71"/>
      <c r="D556" s="71"/>
      <c r="E556" s="72"/>
      <c r="F556" s="70"/>
      <c r="G556" s="72" t="str">
        <f t="shared" ca="1" si="16"/>
        <v/>
      </c>
      <c r="H556" s="72"/>
      <c r="I556" s="71"/>
      <c r="L556" s="55" t="str">
        <f t="shared" ca="1" si="17"/>
        <v>NE</v>
      </c>
    </row>
    <row r="557" spans="1:12" ht="27" thickBot="1">
      <c r="A557" s="72"/>
      <c r="B557" s="74"/>
      <c r="C557" s="71"/>
      <c r="D557" s="71"/>
      <c r="E557" s="72"/>
      <c r="F557" s="70"/>
      <c r="G557" s="72" t="str">
        <f t="shared" ca="1" si="16"/>
        <v/>
      </c>
      <c r="H557" s="72"/>
      <c r="I557" s="71"/>
      <c r="L557" s="55" t="str">
        <f t="shared" ca="1" si="17"/>
        <v>NE</v>
      </c>
    </row>
    <row r="558" spans="1:12" ht="27" thickBot="1">
      <c r="A558" s="72"/>
      <c r="B558" s="74"/>
      <c r="C558" s="71"/>
      <c r="D558" s="71"/>
      <c r="E558" s="72"/>
      <c r="F558" s="70"/>
      <c r="G558" s="72" t="str">
        <f t="shared" ref="G558:G621" ca="1" si="18">IF(ISBLANK(F558),"",IF(F558&gt;=TODAY(), "Non Echue", "Echue"))</f>
        <v/>
      </c>
      <c r="H558" s="72"/>
      <c r="I558" s="71"/>
      <c r="L558" s="55" t="str">
        <f t="shared" ref="L558:L621" ca="1" si="19" xml:space="preserve"> IF(G558 = "Echue",IF(H558 = "Appliqué","EAP","NAP"),"NE")</f>
        <v>NE</v>
      </c>
    </row>
    <row r="559" spans="1:12" ht="27" thickBot="1">
      <c r="A559" s="72"/>
      <c r="B559" s="74"/>
      <c r="C559" s="71"/>
      <c r="D559" s="71"/>
      <c r="E559" s="72"/>
      <c r="F559" s="70"/>
      <c r="G559" s="72" t="str">
        <f t="shared" ca="1" si="18"/>
        <v/>
      </c>
      <c r="H559" s="72"/>
      <c r="I559" s="71"/>
      <c r="L559" s="55" t="str">
        <f t="shared" ca="1" si="19"/>
        <v>NE</v>
      </c>
    </row>
    <row r="560" spans="1:12" ht="27" thickBot="1">
      <c r="A560" s="72"/>
      <c r="B560" s="74"/>
      <c r="C560" s="71"/>
      <c r="D560" s="71"/>
      <c r="E560" s="72"/>
      <c r="F560" s="70"/>
      <c r="G560" s="72" t="str">
        <f t="shared" ca="1" si="18"/>
        <v/>
      </c>
      <c r="H560" s="72"/>
      <c r="I560" s="71"/>
      <c r="L560" s="55" t="str">
        <f t="shared" ca="1" si="19"/>
        <v>NE</v>
      </c>
    </row>
    <row r="561" spans="1:12" ht="27" thickBot="1">
      <c r="A561" s="72"/>
      <c r="B561" s="74"/>
      <c r="C561" s="71"/>
      <c r="D561" s="71"/>
      <c r="E561" s="72"/>
      <c r="F561" s="70"/>
      <c r="G561" s="72" t="str">
        <f t="shared" ca="1" si="18"/>
        <v/>
      </c>
      <c r="H561" s="72"/>
      <c r="I561" s="71"/>
      <c r="L561" s="55" t="str">
        <f t="shared" ca="1" si="19"/>
        <v>NE</v>
      </c>
    </row>
    <row r="562" spans="1:12" ht="27" thickBot="1">
      <c r="A562" s="72"/>
      <c r="B562" s="74"/>
      <c r="C562" s="71"/>
      <c r="D562" s="71"/>
      <c r="E562" s="72"/>
      <c r="F562" s="70"/>
      <c r="G562" s="72" t="str">
        <f t="shared" ca="1" si="18"/>
        <v/>
      </c>
      <c r="H562" s="72"/>
      <c r="I562" s="71"/>
      <c r="L562" s="55" t="str">
        <f t="shared" ca="1" si="19"/>
        <v>NE</v>
      </c>
    </row>
    <row r="563" spans="1:12" ht="27" thickBot="1">
      <c r="A563" s="72"/>
      <c r="B563" s="74"/>
      <c r="C563" s="71"/>
      <c r="D563" s="71"/>
      <c r="E563" s="72"/>
      <c r="F563" s="70"/>
      <c r="G563" s="72" t="str">
        <f t="shared" ca="1" si="18"/>
        <v/>
      </c>
      <c r="H563" s="72"/>
      <c r="I563" s="71"/>
      <c r="L563" s="55" t="str">
        <f t="shared" ca="1" si="19"/>
        <v>NE</v>
      </c>
    </row>
    <row r="564" spans="1:12" ht="27" thickBot="1">
      <c r="A564" s="72"/>
      <c r="B564" s="74"/>
      <c r="C564" s="71"/>
      <c r="D564" s="71"/>
      <c r="E564" s="72"/>
      <c r="F564" s="70"/>
      <c r="G564" s="72" t="str">
        <f t="shared" ca="1" si="18"/>
        <v/>
      </c>
      <c r="H564" s="72"/>
      <c r="I564" s="71"/>
      <c r="L564" s="55" t="str">
        <f t="shared" ca="1" si="19"/>
        <v>NE</v>
      </c>
    </row>
    <row r="565" spans="1:12" ht="27" thickBot="1">
      <c r="A565" s="72"/>
      <c r="B565" s="74"/>
      <c r="C565" s="71"/>
      <c r="D565" s="71"/>
      <c r="E565" s="72"/>
      <c r="F565" s="70"/>
      <c r="G565" s="72" t="str">
        <f t="shared" ca="1" si="18"/>
        <v/>
      </c>
      <c r="H565" s="72"/>
      <c r="I565" s="71"/>
      <c r="L565" s="55" t="str">
        <f t="shared" ca="1" si="19"/>
        <v>NE</v>
      </c>
    </row>
    <row r="566" spans="1:12" ht="27" thickBot="1">
      <c r="A566" s="72"/>
      <c r="B566" s="74"/>
      <c r="C566" s="71"/>
      <c r="D566" s="71"/>
      <c r="E566" s="72"/>
      <c r="F566" s="70"/>
      <c r="G566" s="72" t="str">
        <f t="shared" ca="1" si="18"/>
        <v/>
      </c>
      <c r="H566" s="72"/>
      <c r="I566" s="71"/>
      <c r="L566" s="55" t="str">
        <f t="shared" ca="1" si="19"/>
        <v>NE</v>
      </c>
    </row>
    <row r="567" spans="1:12" ht="27" thickBot="1">
      <c r="A567" s="72"/>
      <c r="B567" s="74"/>
      <c r="C567" s="71"/>
      <c r="D567" s="71"/>
      <c r="E567" s="72"/>
      <c r="F567" s="70"/>
      <c r="G567" s="72" t="str">
        <f t="shared" ca="1" si="18"/>
        <v/>
      </c>
      <c r="H567" s="72"/>
      <c r="I567" s="71"/>
      <c r="L567" s="55" t="str">
        <f t="shared" ca="1" si="19"/>
        <v>NE</v>
      </c>
    </row>
    <row r="568" spans="1:12" ht="27" thickBot="1">
      <c r="A568" s="72"/>
      <c r="B568" s="74"/>
      <c r="C568" s="71"/>
      <c r="D568" s="71"/>
      <c r="E568" s="72"/>
      <c r="F568" s="70"/>
      <c r="G568" s="72" t="str">
        <f t="shared" ca="1" si="18"/>
        <v/>
      </c>
      <c r="H568" s="72"/>
      <c r="I568" s="71"/>
      <c r="L568" s="55" t="str">
        <f t="shared" ca="1" si="19"/>
        <v>NE</v>
      </c>
    </row>
    <row r="569" spans="1:12" ht="27" thickBot="1">
      <c r="A569" s="72"/>
      <c r="B569" s="74"/>
      <c r="C569" s="71"/>
      <c r="D569" s="71"/>
      <c r="E569" s="72"/>
      <c r="F569" s="70"/>
      <c r="G569" s="72" t="str">
        <f t="shared" ca="1" si="18"/>
        <v/>
      </c>
      <c r="H569" s="72"/>
      <c r="I569" s="71"/>
      <c r="L569" s="55" t="str">
        <f t="shared" ca="1" si="19"/>
        <v>NE</v>
      </c>
    </row>
    <row r="570" spans="1:12" ht="27" thickBot="1">
      <c r="A570" s="72"/>
      <c r="B570" s="74"/>
      <c r="C570" s="71"/>
      <c r="D570" s="71"/>
      <c r="E570" s="72"/>
      <c r="F570" s="70"/>
      <c r="G570" s="72" t="str">
        <f t="shared" ca="1" si="18"/>
        <v/>
      </c>
      <c r="H570" s="72"/>
      <c r="I570" s="71"/>
      <c r="L570" s="55" t="str">
        <f t="shared" ca="1" si="19"/>
        <v>NE</v>
      </c>
    </row>
    <row r="571" spans="1:12" ht="27" thickBot="1">
      <c r="A571" s="72"/>
      <c r="B571" s="74"/>
      <c r="C571" s="71"/>
      <c r="D571" s="71"/>
      <c r="E571" s="72"/>
      <c r="F571" s="70"/>
      <c r="G571" s="72" t="str">
        <f t="shared" ca="1" si="18"/>
        <v/>
      </c>
      <c r="H571" s="72"/>
      <c r="I571" s="71"/>
      <c r="L571" s="55" t="str">
        <f t="shared" ca="1" si="19"/>
        <v>NE</v>
      </c>
    </row>
    <row r="572" spans="1:12" ht="27" thickBot="1">
      <c r="A572" s="72"/>
      <c r="B572" s="74"/>
      <c r="C572" s="71"/>
      <c r="D572" s="71"/>
      <c r="E572" s="72"/>
      <c r="F572" s="70"/>
      <c r="G572" s="72" t="str">
        <f t="shared" ca="1" si="18"/>
        <v/>
      </c>
      <c r="H572" s="72"/>
      <c r="I572" s="71"/>
      <c r="L572" s="55" t="str">
        <f t="shared" ca="1" si="19"/>
        <v>NE</v>
      </c>
    </row>
    <row r="573" spans="1:12" ht="27" thickBot="1">
      <c r="A573" s="72"/>
      <c r="B573" s="74"/>
      <c r="C573" s="71"/>
      <c r="D573" s="71"/>
      <c r="E573" s="72"/>
      <c r="F573" s="70"/>
      <c r="G573" s="72" t="str">
        <f t="shared" ca="1" si="18"/>
        <v/>
      </c>
      <c r="H573" s="72"/>
      <c r="I573" s="71"/>
      <c r="L573" s="55" t="str">
        <f t="shared" ca="1" si="19"/>
        <v>NE</v>
      </c>
    </row>
    <row r="574" spans="1:12" ht="27" thickBot="1">
      <c r="A574" s="72"/>
      <c r="B574" s="74"/>
      <c r="C574" s="71"/>
      <c r="D574" s="71"/>
      <c r="E574" s="72"/>
      <c r="F574" s="70"/>
      <c r="G574" s="72" t="str">
        <f t="shared" ca="1" si="18"/>
        <v/>
      </c>
      <c r="H574" s="72"/>
      <c r="I574" s="71"/>
      <c r="L574" s="55" t="str">
        <f t="shared" ca="1" si="19"/>
        <v>NE</v>
      </c>
    </row>
    <row r="575" spans="1:12" ht="27" thickBot="1">
      <c r="A575" s="72"/>
      <c r="B575" s="74"/>
      <c r="C575" s="71"/>
      <c r="D575" s="71"/>
      <c r="E575" s="72"/>
      <c r="F575" s="70"/>
      <c r="G575" s="72" t="str">
        <f t="shared" ca="1" si="18"/>
        <v/>
      </c>
      <c r="H575" s="72"/>
      <c r="I575" s="71"/>
      <c r="L575" s="55" t="str">
        <f t="shared" ca="1" si="19"/>
        <v>NE</v>
      </c>
    </row>
    <row r="576" spans="1:12" ht="27" thickBot="1">
      <c r="A576" s="72"/>
      <c r="B576" s="74"/>
      <c r="C576" s="71"/>
      <c r="D576" s="71"/>
      <c r="E576" s="72"/>
      <c r="F576" s="70"/>
      <c r="G576" s="72" t="str">
        <f t="shared" ca="1" si="18"/>
        <v/>
      </c>
      <c r="H576" s="72"/>
      <c r="I576" s="71"/>
      <c r="L576" s="55" t="str">
        <f t="shared" ca="1" si="19"/>
        <v>NE</v>
      </c>
    </row>
    <row r="577" spans="1:12" ht="27" thickBot="1">
      <c r="A577" s="72"/>
      <c r="B577" s="74"/>
      <c r="C577" s="71"/>
      <c r="D577" s="71"/>
      <c r="E577" s="72"/>
      <c r="F577" s="70"/>
      <c r="G577" s="72" t="str">
        <f t="shared" ca="1" si="18"/>
        <v/>
      </c>
      <c r="H577" s="72"/>
      <c r="I577" s="71"/>
      <c r="L577" s="55" t="str">
        <f t="shared" ca="1" si="19"/>
        <v>NE</v>
      </c>
    </row>
    <row r="578" spans="1:12" ht="27" thickBot="1">
      <c r="A578" s="72"/>
      <c r="B578" s="74"/>
      <c r="C578" s="71"/>
      <c r="D578" s="71"/>
      <c r="E578" s="72"/>
      <c r="F578" s="70"/>
      <c r="G578" s="72" t="str">
        <f t="shared" ca="1" si="18"/>
        <v/>
      </c>
      <c r="H578" s="72"/>
      <c r="I578" s="71"/>
      <c r="L578" s="55" t="str">
        <f t="shared" ca="1" si="19"/>
        <v>NE</v>
      </c>
    </row>
    <row r="579" spans="1:12" ht="27" thickBot="1">
      <c r="A579" s="72"/>
      <c r="B579" s="74"/>
      <c r="C579" s="71"/>
      <c r="D579" s="71"/>
      <c r="E579" s="72"/>
      <c r="F579" s="70"/>
      <c r="G579" s="72" t="str">
        <f t="shared" ca="1" si="18"/>
        <v/>
      </c>
      <c r="H579" s="72"/>
      <c r="I579" s="71"/>
      <c r="L579" s="55" t="str">
        <f t="shared" ca="1" si="19"/>
        <v>NE</v>
      </c>
    </row>
    <row r="580" spans="1:12" ht="27" thickBot="1">
      <c r="A580" s="72"/>
      <c r="B580" s="74"/>
      <c r="C580" s="71"/>
      <c r="D580" s="71"/>
      <c r="E580" s="72"/>
      <c r="F580" s="70"/>
      <c r="G580" s="72" t="str">
        <f t="shared" ca="1" si="18"/>
        <v/>
      </c>
      <c r="H580" s="72"/>
      <c r="I580" s="71"/>
      <c r="L580" s="55" t="str">
        <f t="shared" ca="1" si="19"/>
        <v>NE</v>
      </c>
    </row>
    <row r="581" spans="1:12" ht="27" thickBot="1">
      <c r="A581" s="72"/>
      <c r="B581" s="74"/>
      <c r="C581" s="71"/>
      <c r="D581" s="71"/>
      <c r="E581" s="72"/>
      <c r="F581" s="70"/>
      <c r="G581" s="72" t="str">
        <f t="shared" ca="1" si="18"/>
        <v/>
      </c>
      <c r="H581" s="72"/>
      <c r="I581" s="71"/>
      <c r="L581" s="55" t="str">
        <f t="shared" ca="1" si="19"/>
        <v>NE</v>
      </c>
    </row>
    <row r="582" spans="1:12" ht="27" thickBot="1">
      <c r="A582" s="72"/>
      <c r="B582" s="74"/>
      <c r="C582" s="71"/>
      <c r="D582" s="71"/>
      <c r="E582" s="72"/>
      <c r="F582" s="70"/>
      <c r="G582" s="72" t="str">
        <f t="shared" ca="1" si="18"/>
        <v/>
      </c>
      <c r="H582" s="72"/>
      <c r="I582" s="71"/>
      <c r="L582" s="55" t="str">
        <f t="shared" ca="1" si="19"/>
        <v>NE</v>
      </c>
    </row>
    <row r="583" spans="1:12" ht="27" thickBot="1">
      <c r="A583" s="72"/>
      <c r="B583" s="74"/>
      <c r="C583" s="71"/>
      <c r="D583" s="71"/>
      <c r="E583" s="72"/>
      <c r="F583" s="70"/>
      <c r="G583" s="72" t="str">
        <f t="shared" ca="1" si="18"/>
        <v/>
      </c>
      <c r="H583" s="72"/>
      <c r="I583" s="71"/>
      <c r="L583" s="55" t="str">
        <f t="shared" ca="1" si="19"/>
        <v>NE</v>
      </c>
    </row>
    <row r="584" spans="1:12" ht="27" thickBot="1">
      <c r="A584" s="72"/>
      <c r="B584" s="74"/>
      <c r="C584" s="71"/>
      <c r="D584" s="71"/>
      <c r="E584" s="72"/>
      <c r="F584" s="70"/>
      <c r="G584" s="72" t="str">
        <f t="shared" ca="1" si="18"/>
        <v/>
      </c>
      <c r="H584" s="72"/>
      <c r="I584" s="71"/>
      <c r="L584" s="55" t="str">
        <f t="shared" ca="1" si="19"/>
        <v>NE</v>
      </c>
    </row>
    <row r="585" spans="1:12" ht="27" thickBot="1">
      <c r="A585" s="72"/>
      <c r="B585" s="74"/>
      <c r="C585" s="71"/>
      <c r="D585" s="71"/>
      <c r="E585" s="72"/>
      <c r="F585" s="70"/>
      <c r="G585" s="72" t="str">
        <f t="shared" ca="1" si="18"/>
        <v/>
      </c>
      <c r="H585" s="72"/>
      <c r="I585" s="71"/>
      <c r="L585" s="55" t="str">
        <f t="shared" ca="1" si="19"/>
        <v>NE</v>
      </c>
    </row>
    <row r="586" spans="1:12" ht="27" thickBot="1">
      <c r="A586" s="72"/>
      <c r="B586" s="74"/>
      <c r="C586" s="71"/>
      <c r="D586" s="71"/>
      <c r="E586" s="72"/>
      <c r="F586" s="70"/>
      <c r="G586" s="72" t="str">
        <f t="shared" ca="1" si="18"/>
        <v/>
      </c>
      <c r="H586" s="72"/>
      <c r="I586" s="71"/>
      <c r="L586" s="55" t="str">
        <f t="shared" ca="1" si="19"/>
        <v>NE</v>
      </c>
    </row>
    <row r="587" spans="1:12" ht="27" thickBot="1">
      <c r="A587" s="72"/>
      <c r="B587" s="74"/>
      <c r="C587" s="71"/>
      <c r="D587" s="71"/>
      <c r="E587" s="72"/>
      <c r="F587" s="70"/>
      <c r="G587" s="72" t="str">
        <f t="shared" ca="1" si="18"/>
        <v/>
      </c>
      <c r="H587" s="72"/>
      <c r="I587" s="71"/>
      <c r="L587" s="55" t="str">
        <f t="shared" ca="1" si="19"/>
        <v>NE</v>
      </c>
    </row>
    <row r="588" spans="1:12" ht="27" thickBot="1">
      <c r="A588" s="72"/>
      <c r="B588" s="74"/>
      <c r="C588" s="71"/>
      <c r="D588" s="71"/>
      <c r="E588" s="72"/>
      <c r="F588" s="70"/>
      <c r="G588" s="72" t="str">
        <f t="shared" ca="1" si="18"/>
        <v/>
      </c>
      <c r="H588" s="72"/>
      <c r="I588" s="71"/>
      <c r="L588" s="55" t="str">
        <f t="shared" ca="1" si="19"/>
        <v>NE</v>
      </c>
    </row>
    <row r="589" spans="1:12" ht="27" thickBot="1">
      <c r="A589" s="72"/>
      <c r="B589" s="74"/>
      <c r="C589" s="71"/>
      <c r="D589" s="71"/>
      <c r="E589" s="72"/>
      <c r="F589" s="70"/>
      <c r="G589" s="72" t="str">
        <f t="shared" ca="1" si="18"/>
        <v/>
      </c>
      <c r="H589" s="72"/>
      <c r="I589" s="71"/>
      <c r="L589" s="55" t="str">
        <f t="shared" ca="1" si="19"/>
        <v>NE</v>
      </c>
    </row>
    <row r="590" spans="1:12" ht="27" thickBot="1">
      <c r="A590" s="72"/>
      <c r="B590" s="74"/>
      <c r="C590" s="71"/>
      <c r="D590" s="71"/>
      <c r="E590" s="72"/>
      <c r="F590" s="70"/>
      <c r="G590" s="72" t="str">
        <f t="shared" ca="1" si="18"/>
        <v/>
      </c>
      <c r="H590" s="72"/>
      <c r="I590" s="71"/>
      <c r="L590" s="55" t="str">
        <f t="shared" ca="1" si="19"/>
        <v>NE</v>
      </c>
    </row>
    <row r="591" spans="1:12" ht="27" thickBot="1">
      <c r="A591" s="72"/>
      <c r="B591" s="74"/>
      <c r="C591" s="71"/>
      <c r="D591" s="71"/>
      <c r="E591" s="72"/>
      <c r="F591" s="70"/>
      <c r="G591" s="72" t="str">
        <f t="shared" ca="1" si="18"/>
        <v/>
      </c>
      <c r="H591" s="72"/>
      <c r="I591" s="71"/>
      <c r="L591" s="55" t="str">
        <f t="shared" ca="1" si="19"/>
        <v>NE</v>
      </c>
    </row>
    <row r="592" spans="1:12" ht="27" thickBot="1">
      <c r="A592" s="72"/>
      <c r="B592" s="74"/>
      <c r="C592" s="71"/>
      <c r="D592" s="71"/>
      <c r="E592" s="72"/>
      <c r="F592" s="70"/>
      <c r="G592" s="72" t="str">
        <f t="shared" ca="1" si="18"/>
        <v/>
      </c>
      <c r="H592" s="72"/>
      <c r="I592" s="71"/>
      <c r="L592" s="55" t="str">
        <f t="shared" ca="1" si="19"/>
        <v>NE</v>
      </c>
    </row>
    <row r="593" spans="1:12" ht="27" thickBot="1">
      <c r="A593" s="72"/>
      <c r="B593" s="74"/>
      <c r="C593" s="71"/>
      <c r="D593" s="71"/>
      <c r="E593" s="72"/>
      <c r="F593" s="70"/>
      <c r="G593" s="72" t="str">
        <f t="shared" ca="1" si="18"/>
        <v/>
      </c>
      <c r="H593" s="72"/>
      <c r="I593" s="71"/>
      <c r="L593" s="55" t="str">
        <f t="shared" ca="1" si="19"/>
        <v>NE</v>
      </c>
    </row>
    <row r="594" spans="1:12" ht="27" thickBot="1">
      <c r="A594" s="72"/>
      <c r="B594" s="74"/>
      <c r="C594" s="71"/>
      <c r="D594" s="71"/>
      <c r="E594" s="72"/>
      <c r="F594" s="70"/>
      <c r="G594" s="72" t="str">
        <f t="shared" ca="1" si="18"/>
        <v/>
      </c>
      <c r="H594" s="72"/>
      <c r="I594" s="71"/>
      <c r="L594" s="55" t="str">
        <f t="shared" ca="1" si="19"/>
        <v>NE</v>
      </c>
    </row>
    <row r="595" spans="1:12" ht="27" thickBot="1">
      <c r="A595" s="72"/>
      <c r="B595" s="74"/>
      <c r="C595" s="71"/>
      <c r="D595" s="71"/>
      <c r="E595" s="72"/>
      <c r="F595" s="70"/>
      <c r="G595" s="72" t="str">
        <f t="shared" ca="1" si="18"/>
        <v/>
      </c>
      <c r="H595" s="72"/>
      <c r="I595" s="71"/>
      <c r="L595" s="55" t="str">
        <f t="shared" ca="1" si="19"/>
        <v>NE</v>
      </c>
    </row>
    <row r="596" spans="1:12" ht="27" thickBot="1">
      <c r="A596" s="72"/>
      <c r="B596" s="74"/>
      <c r="C596" s="71"/>
      <c r="D596" s="71"/>
      <c r="E596" s="72"/>
      <c r="F596" s="70"/>
      <c r="G596" s="72" t="str">
        <f t="shared" ca="1" si="18"/>
        <v/>
      </c>
      <c r="H596" s="72"/>
      <c r="I596" s="71"/>
      <c r="L596" s="55" t="str">
        <f t="shared" ca="1" si="19"/>
        <v>NE</v>
      </c>
    </row>
    <row r="597" spans="1:12" ht="27" thickBot="1">
      <c r="A597" s="72"/>
      <c r="B597" s="74"/>
      <c r="C597" s="71"/>
      <c r="D597" s="71"/>
      <c r="E597" s="72"/>
      <c r="F597" s="70"/>
      <c r="G597" s="72" t="str">
        <f t="shared" ca="1" si="18"/>
        <v/>
      </c>
      <c r="H597" s="72"/>
      <c r="I597" s="71"/>
      <c r="L597" s="55" t="str">
        <f t="shared" ca="1" si="19"/>
        <v>NE</v>
      </c>
    </row>
    <row r="598" spans="1:12" ht="27" thickBot="1">
      <c r="A598" s="72"/>
      <c r="B598" s="74"/>
      <c r="C598" s="71"/>
      <c r="D598" s="71"/>
      <c r="E598" s="72"/>
      <c r="F598" s="70"/>
      <c r="G598" s="72" t="str">
        <f t="shared" ca="1" si="18"/>
        <v/>
      </c>
      <c r="H598" s="72"/>
      <c r="I598" s="71"/>
      <c r="L598" s="55" t="str">
        <f t="shared" ca="1" si="19"/>
        <v>NE</v>
      </c>
    </row>
    <row r="599" spans="1:12" ht="27" thickBot="1">
      <c r="A599" s="72"/>
      <c r="B599" s="74"/>
      <c r="C599" s="71"/>
      <c r="D599" s="71"/>
      <c r="E599" s="72"/>
      <c r="F599" s="70"/>
      <c r="G599" s="72" t="str">
        <f t="shared" ca="1" si="18"/>
        <v/>
      </c>
      <c r="H599" s="72"/>
      <c r="I599" s="71"/>
      <c r="L599" s="55" t="str">
        <f t="shared" ca="1" si="19"/>
        <v>NE</v>
      </c>
    </row>
    <row r="600" spans="1:12" ht="27" thickBot="1">
      <c r="A600" s="72"/>
      <c r="B600" s="74"/>
      <c r="C600" s="71"/>
      <c r="D600" s="71"/>
      <c r="E600" s="72"/>
      <c r="F600" s="70"/>
      <c r="G600" s="72" t="str">
        <f t="shared" ca="1" si="18"/>
        <v/>
      </c>
      <c r="H600" s="72"/>
      <c r="I600" s="71"/>
      <c r="L600" s="55" t="str">
        <f t="shared" ca="1" si="19"/>
        <v>NE</v>
      </c>
    </row>
    <row r="601" spans="1:12" ht="27" thickBot="1">
      <c r="A601" s="72"/>
      <c r="B601" s="74"/>
      <c r="C601" s="71"/>
      <c r="D601" s="71"/>
      <c r="E601" s="72"/>
      <c r="F601" s="70"/>
      <c r="G601" s="72" t="str">
        <f t="shared" ca="1" si="18"/>
        <v/>
      </c>
      <c r="H601" s="72"/>
      <c r="I601" s="71"/>
      <c r="L601" s="55" t="str">
        <f t="shared" ca="1" si="19"/>
        <v>NE</v>
      </c>
    </row>
    <row r="602" spans="1:12" ht="27" thickBot="1">
      <c r="A602" s="72"/>
      <c r="B602" s="74"/>
      <c r="C602" s="71"/>
      <c r="D602" s="71"/>
      <c r="E602" s="72"/>
      <c r="F602" s="70"/>
      <c r="G602" s="72" t="str">
        <f t="shared" ca="1" si="18"/>
        <v/>
      </c>
      <c r="H602" s="72"/>
      <c r="I602" s="71"/>
      <c r="L602" s="55" t="str">
        <f t="shared" ca="1" si="19"/>
        <v>NE</v>
      </c>
    </row>
    <row r="603" spans="1:12" ht="27" thickBot="1">
      <c r="A603" s="72"/>
      <c r="B603" s="74"/>
      <c r="C603" s="71"/>
      <c r="D603" s="71"/>
      <c r="E603" s="72"/>
      <c r="F603" s="70"/>
      <c r="G603" s="72" t="str">
        <f t="shared" ca="1" si="18"/>
        <v/>
      </c>
      <c r="H603" s="72"/>
      <c r="I603" s="71"/>
      <c r="L603" s="55" t="str">
        <f t="shared" ca="1" si="19"/>
        <v>NE</v>
      </c>
    </row>
    <row r="604" spans="1:12" ht="27" thickBot="1">
      <c r="A604" s="72"/>
      <c r="B604" s="74"/>
      <c r="C604" s="71"/>
      <c r="D604" s="71"/>
      <c r="E604" s="72"/>
      <c r="F604" s="70"/>
      <c r="G604" s="72" t="str">
        <f t="shared" ca="1" si="18"/>
        <v/>
      </c>
      <c r="H604" s="72"/>
      <c r="I604" s="71"/>
      <c r="L604" s="55" t="str">
        <f t="shared" ca="1" si="19"/>
        <v>NE</v>
      </c>
    </row>
    <row r="605" spans="1:12" ht="27" thickBot="1">
      <c r="A605" s="72"/>
      <c r="B605" s="74"/>
      <c r="C605" s="71"/>
      <c r="D605" s="71"/>
      <c r="E605" s="72"/>
      <c r="F605" s="70"/>
      <c r="G605" s="72" t="str">
        <f t="shared" ca="1" si="18"/>
        <v/>
      </c>
      <c r="H605" s="72"/>
      <c r="I605" s="71"/>
      <c r="L605" s="55" t="str">
        <f t="shared" ca="1" si="19"/>
        <v>NE</v>
      </c>
    </row>
    <row r="606" spans="1:12" ht="27" thickBot="1">
      <c r="A606" s="72"/>
      <c r="B606" s="74"/>
      <c r="C606" s="71"/>
      <c r="D606" s="71"/>
      <c r="E606" s="72"/>
      <c r="F606" s="70"/>
      <c r="G606" s="72" t="str">
        <f t="shared" ca="1" si="18"/>
        <v/>
      </c>
      <c r="H606" s="72"/>
      <c r="I606" s="71"/>
      <c r="L606" s="55" t="str">
        <f t="shared" ca="1" si="19"/>
        <v>NE</v>
      </c>
    </row>
    <row r="607" spans="1:12" ht="27" thickBot="1">
      <c r="A607" s="72"/>
      <c r="B607" s="74"/>
      <c r="C607" s="71"/>
      <c r="D607" s="71"/>
      <c r="E607" s="72"/>
      <c r="F607" s="70"/>
      <c r="G607" s="72" t="str">
        <f t="shared" ca="1" si="18"/>
        <v/>
      </c>
      <c r="H607" s="72"/>
      <c r="I607" s="71"/>
      <c r="L607" s="55" t="str">
        <f t="shared" ca="1" si="19"/>
        <v>NE</v>
      </c>
    </row>
    <row r="608" spans="1:12" ht="27" thickBot="1">
      <c r="A608" s="72"/>
      <c r="B608" s="74"/>
      <c r="C608" s="71"/>
      <c r="D608" s="71"/>
      <c r="E608" s="72"/>
      <c r="F608" s="70"/>
      <c r="G608" s="72" t="str">
        <f t="shared" ca="1" si="18"/>
        <v/>
      </c>
      <c r="H608" s="72"/>
      <c r="I608" s="71"/>
      <c r="L608" s="55" t="str">
        <f t="shared" ca="1" si="19"/>
        <v>NE</v>
      </c>
    </row>
    <row r="609" spans="1:12" ht="27" thickBot="1">
      <c r="A609" s="72"/>
      <c r="B609" s="74"/>
      <c r="C609" s="71"/>
      <c r="D609" s="71"/>
      <c r="E609" s="72"/>
      <c r="F609" s="70"/>
      <c r="G609" s="72" t="str">
        <f t="shared" ca="1" si="18"/>
        <v/>
      </c>
      <c r="H609" s="72"/>
      <c r="I609" s="71"/>
      <c r="L609" s="55" t="str">
        <f t="shared" ca="1" si="19"/>
        <v>NE</v>
      </c>
    </row>
    <row r="610" spans="1:12" ht="27" thickBot="1">
      <c r="A610" s="72"/>
      <c r="B610" s="74"/>
      <c r="C610" s="71"/>
      <c r="D610" s="71"/>
      <c r="E610" s="72"/>
      <c r="F610" s="70"/>
      <c r="G610" s="72" t="str">
        <f t="shared" ca="1" si="18"/>
        <v/>
      </c>
      <c r="H610" s="72"/>
      <c r="I610" s="71"/>
      <c r="L610" s="55" t="str">
        <f t="shared" ca="1" si="19"/>
        <v>NE</v>
      </c>
    </row>
    <row r="611" spans="1:12" ht="27" thickBot="1">
      <c r="A611" s="72"/>
      <c r="B611" s="74"/>
      <c r="C611" s="71"/>
      <c r="D611" s="71"/>
      <c r="E611" s="72"/>
      <c r="F611" s="70"/>
      <c r="G611" s="72" t="str">
        <f t="shared" ca="1" si="18"/>
        <v/>
      </c>
      <c r="H611" s="72"/>
      <c r="I611" s="71"/>
      <c r="L611" s="55" t="str">
        <f t="shared" ca="1" si="19"/>
        <v>NE</v>
      </c>
    </row>
    <row r="612" spans="1:12" ht="27" thickBot="1">
      <c r="A612" s="72"/>
      <c r="B612" s="74"/>
      <c r="C612" s="71"/>
      <c r="D612" s="71"/>
      <c r="E612" s="72"/>
      <c r="F612" s="70"/>
      <c r="G612" s="72" t="str">
        <f t="shared" ca="1" si="18"/>
        <v/>
      </c>
      <c r="H612" s="72"/>
      <c r="I612" s="71"/>
      <c r="L612" s="55" t="str">
        <f t="shared" ca="1" si="19"/>
        <v>NE</v>
      </c>
    </row>
    <row r="613" spans="1:12" ht="27" thickBot="1">
      <c r="A613" s="72"/>
      <c r="B613" s="74"/>
      <c r="C613" s="71"/>
      <c r="D613" s="71"/>
      <c r="E613" s="72"/>
      <c r="F613" s="70"/>
      <c r="G613" s="72" t="str">
        <f t="shared" ca="1" si="18"/>
        <v/>
      </c>
      <c r="H613" s="72"/>
      <c r="I613" s="71"/>
      <c r="L613" s="55" t="str">
        <f t="shared" ca="1" si="19"/>
        <v>NE</v>
      </c>
    </row>
    <row r="614" spans="1:12" ht="27" thickBot="1">
      <c r="A614" s="72"/>
      <c r="B614" s="74"/>
      <c r="C614" s="71"/>
      <c r="D614" s="71"/>
      <c r="E614" s="72"/>
      <c r="F614" s="70"/>
      <c r="G614" s="72" t="str">
        <f t="shared" ca="1" si="18"/>
        <v/>
      </c>
      <c r="H614" s="72"/>
      <c r="I614" s="71"/>
      <c r="L614" s="55" t="str">
        <f t="shared" ca="1" si="19"/>
        <v>NE</v>
      </c>
    </row>
    <row r="615" spans="1:12" ht="27" thickBot="1">
      <c r="A615" s="72"/>
      <c r="B615" s="74"/>
      <c r="C615" s="71"/>
      <c r="D615" s="71"/>
      <c r="E615" s="72"/>
      <c r="F615" s="70"/>
      <c r="G615" s="72" t="str">
        <f t="shared" ca="1" si="18"/>
        <v/>
      </c>
      <c r="H615" s="72"/>
      <c r="I615" s="71"/>
      <c r="L615" s="55" t="str">
        <f t="shared" ca="1" si="19"/>
        <v>NE</v>
      </c>
    </row>
    <row r="616" spans="1:12" ht="27" thickBot="1">
      <c r="A616" s="72"/>
      <c r="B616" s="74"/>
      <c r="C616" s="71"/>
      <c r="D616" s="71"/>
      <c r="E616" s="72"/>
      <c r="F616" s="70"/>
      <c r="G616" s="72" t="str">
        <f t="shared" ca="1" si="18"/>
        <v/>
      </c>
      <c r="H616" s="72"/>
      <c r="I616" s="71"/>
      <c r="L616" s="55" t="str">
        <f t="shared" ca="1" si="19"/>
        <v>NE</v>
      </c>
    </row>
    <row r="617" spans="1:12" ht="27" thickBot="1">
      <c r="A617" s="72"/>
      <c r="B617" s="74"/>
      <c r="C617" s="71"/>
      <c r="D617" s="71"/>
      <c r="E617" s="72"/>
      <c r="F617" s="70"/>
      <c r="G617" s="72" t="str">
        <f t="shared" ca="1" si="18"/>
        <v/>
      </c>
      <c r="H617" s="72"/>
      <c r="I617" s="71"/>
      <c r="L617" s="55" t="str">
        <f t="shared" ca="1" si="19"/>
        <v>NE</v>
      </c>
    </row>
    <row r="618" spans="1:12" ht="27" thickBot="1">
      <c r="A618" s="72"/>
      <c r="B618" s="74"/>
      <c r="C618" s="71"/>
      <c r="D618" s="71"/>
      <c r="E618" s="72"/>
      <c r="F618" s="70"/>
      <c r="G618" s="72" t="str">
        <f t="shared" ca="1" si="18"/>
        <v/>
      </c>
      <c r="H618" s="72"/>
      <c r="I618" s="71"/>
      <c r="L618" s="55" t="str">
        <f t="shared" ca="1" si="19"/>
        <v>NE</v>
      </c>
    </row>
    <row r="619" spans="1:12" ht="27" thickBot="1">
      <c r="A619" s="72"/>
      <c r="B619" s="74"/>
      <c r="C619" s="71"/>
      <c r="D619" s="71"/>
      <c r="E619" s="72"/>
      <c r="F619" s="70"/>
      <c r="G619" s="72" t="str">
        <f t="shared" ca="1" si="18"/>
        <v/>
      </c>
      <c r="H619" s="72"/>
      <c r="I619" s="71"/>
      <c r="L619" s="55" t="str">
        <f t="shared" ca="1" si="19"/>
        <v>NE</v>
      </c>
    </row>
    <row r="620" spans="1:12" ht="27" thickBot="1">
      <c r="A620" s="72"/>
      <c r="B620" s="74"/>
      <c r="C620" s="71"/>
      <c r="D620" s="71"/>
      <c r="E620" s="72"/>
      <c r="F620" s="70"/>
      <c r="G620" s="72" t="str">
        <f t="shared" ca="1" si="18"/>
        <v/>
      </c>
      <c r="H620" s="72"/>
      <c r="I620" s="71"/>
      <c r="L620" s="55" t="str">
        <f t="shared" ca="1" si="19"/>
        <v>NE</v>
      </c>
    </row>
    <row r="621" spans="1:12" ht="27" thickBot="1">
      <c r="A621" s="72"/>
      <c r="B621" s="74"/>
      <c r="C621" s="71"/>
      <c r="D621" s="71"/>
      <c r="E621" s="72"/>
      <c r="F621" s="70"/>
      <c r="G621" s="72" t="str">
        <f t="shared" ca="1" si="18"/>
        <v/>
      </c>
      <c r="H621" s="72"/>
      <c r="I621" s="71"/>
      <c r="L621" s="55" t="str">
        <f t="shared" ca="1" si="19"/>
        <v>NE</v>
      </c>
    </row>
    <row r="622" spans="1:12" ht="27" thickBot="1">
      <c r="A622" s="72"/>
      <c r="B622" s="74"/>
      <c r="C622" s="71"/>
      <c r="D622" s="71"/>
      <c r="E622" s="72"/>
      <c r="F622" s="70"/>
      <c r="G622" s="72" t="str">
        <f t="shared" ref="G622:G685" ca="1" si="20">IF(ISBLANK(F622),"",IF(F622&gt;=TODAY(), "Non Echue", "Echue"))</f>
        <v/>
      </c>
      <c r="H622" s="72"/>
      <c r="I622" s="71"/>
      <c r="L622" s="55" t="str">
        <f t="shared" ref="L622:L685" ca="1" si="21" xml:space="preserve"> IF(G622 = "Echue",IF(H622 = "Appliqué","EAP","NAP"),"NE")</f>
        <v>NE</v>
      </c>
    </row>
    <row r="623" spans="1:12" ht="27" thickBot="1">
      <c r="A623" s="72"/>
      <c r="B623" s="74"/>
      <c r="C623" s="71"/>
      <c r="D623" s="71"/>
      <c r="E623" s="72"/>
      <c r="F623" s="70"/>
      <c r="G623" s="72" t="str">
        <f t="shared" ca="1" si="20"/>
        <v/>
      </c>
      <c r="H623" s="72"/>
      <c r="I623" s="71"/>
      <c r="L623" s="55" t="str">
        <f t="shared" ca="1" si="21"/>
        <v>NE</v>
      </c>
    </row>
    <row r="624" spans="1:12" ht="27" thickBot="1">
      <c r="A624" s="72"/>
      <c r="B624" s="74"/>
      <c r="C624" s="71"/>
      <c r="D624" s="71"/>
      <c r="E624" s="72"/>
      <c r="F624" s="70"/>
      <c r="G624" s="72" t="str">
        <f t="shared" ca="1" si="20"/>
        <v/>
      </c>
      <c r="H624" s="72"/>
      <c r="I624" s="71"/>
      <c r="L624" s="55" t="str">
        <f t="shared" ca="1" si="21"/>
        <v>NE</v>
      </c>
    </row>
    <row r="625" spans="1:12" ht="27" thickBot="1">
      <c r="A625" s="72"/>
      <c r="B625" s="74"/>
      <c r="C625" s="71"/>
      <c r="D625" s="71"/>
      <c r="E625" s="72"/>
      <c r="F625" s="70"/>
      <c r="G625" s="72" t="str">
        <f t="shared" ca="1" si="20"/>
        <v/>
      </c>
      <c r="H625" s="72"/>
      <c r="I625" s="71"/>
      <c r="L625" s="55" t="str">
        <f t="shared" ca="1" si="21"/>
        <v>NE</v>
      </c>
    </row>
    <row r="626" spans="1:12" ht="27" thickBot="1">
      <c r="A626" s="72"/>
      <c r="B626" s="74"/>
      <c r="C626" s="71"/>
      <c r="D626" s="71"/>
      <c r="E626" s="72"/>
      <c r="F626" s="70"/>
      <c r="G626" s="72" t="str">
        <f t="shared" ca="1" si="20"/>
        <v/>
      </c>
      <c r="H626" s="72"/>
      <c r="I626" s="71"/>
      <c r="L626" s="55" t="str">
        <f t="shared" ca="1" si="21"/>
        <v>NE</v>
      </c>
    </row>
    <row r="627" spans="1:12" ht="27" thickBot="1">
      <c r="A627" s="72"/>
      <c r="B627" s="74"/>
      <c r="C627" s="71"/>
      <c r="D627" s="71"/>
      <c r="E627" s="72"/>
      <c r="F627" s="70"/>
      <c r="G627" s="72" t="str">
        <f t="shared" ca="1" si="20"/>
        <v/>
      </c>
      <c r="H627" s="72"/>
      <c r="I627" s="71"/>
      <c r="L627" s="55" t="str">
        <f t="shared" ca="1" si="21"/>
        <v>NE</v>
      </c>
    </row>
    <row r="628" spans="1:12" ht="27" thickBot="1">
      <c r="A628" s="72"/>
      <c r="B628" s="74"/>
      <c r="C628" s="71"/>
      <c r="D628" s="71"/>
      <c r="E628" s="72"/>
      <c r="F628" s="70"/>
      <c r="G628" s="72" t="str">
        <f t="shared" ca="1" si="20"/>
        <v/>
      </c>
      <c r="H628" s="72"/>
      <c r="I628" s="71"/>
      <c r="L628" s="55" t="str">
        <f t="shared" ca="1" si="21"/>
        <v>NE</v>
      </c>
    </row>
    <row r="629" spans="1:12" ht="27" thickBot="1">
      <c r="A629" s="72"/>
      <c r="B629" s="74"/>
      <c r="C629" s="71"/>
      <c r="D629" s="71"/>
      <c r="E629" s="72"/>
      <c r="F629" s="70"/>
      <c r="G629" s="72" t="str">
        <f t="shared" ca="1" si="20"/>
        <v/>
      </c>
      <c r="H629" s="72"/>
      <c r="I629" s="71"/>
      <c r="L629" s="55" t="str">
        <f t="shared" ca="1" si="21"/>
        <v>NE</v>
      </c>
    </row>
    <row r="630" spans="1:12" ht="27" thickBot="1">
      <c r="A630" s="72"/>
      <c r="B630" s="74"/>
      <c r="C630" s="71"/>
      <c r="D630" s="71"/>
      <c r="E630" s="72"/>
      <c r="F630" s="70"/>
      <c r="G630" s="72" t="str">
        <f t="shared" ca="1" si="20"/>
        <v/>
      </c>
      <c r="H630" s="72"/>
      <c r="I630" s="71"/>
      <c r="L630" s="55" t="str">
        <f t="shared" ca="1" si="21"/>
        <v>NE</v>
      </c>
    </row>
    <row r="631" spans="1:12" ht="27" thickBot="1">
      <c r="A631" s="72"/>
      <c r="B631" s="74"/>
      <c r="C631" s="71"/>
      <c r="D631" s="71"/>
      <c r="E631" s="72"/>
      <c r="F631" s="70"/>
      <c r="G631" s="72" t="str">
        <f t="shared" ca="1" si="20"/>
        <v/>
      </c>
      <c r="H631" s="72"/>
      <c r="I631" s="71"/>
      <c r="L631" s="55" t="str">
        <f t="shared" ca="1" si="21"/>
        <v>NE</v>
      </c>
    </row>
    <row r="632" spans="1:12" ht="27" thickBot="1">
      <c r="A632" s="72"/>
      <c r="B632" s="74"/>
      <c r="C632" s="71"/>
      <c r="D632" s="71"/>
      <c r="E632" s="72"/>
      <c r="F632" s="70"/>
      <c r="G632" s="72" t="str">
        <f t="shared" ca="1" si="20"/>
        <v/>
      </c>
      <c r="H632" s="72"/>
      <c r="I632" s="71"/>
      <c r="L632" s="55" t="str">
        <f t="shared" ca="1" si="21"/>
        <v>NE</v>
      </c>
    </row>
    <row r="633" spans="1:12" ht="27" thickBot="1">
      <c r="A633" s="72"/>
      <c r="B633" s="74"/>
      <c r="C633" s="71"/>
      <c r="D633" s="71"/>
      <c r="E633" s="72"/>
      <c r="F633" s="70"/>
      <c r="G633" s="72" t="str">
        <f t="shared" ca="1" si="20"/>
        <v/>
      </c>
      <c r="H633" s="72"/>
      <c r="I633" s="71"/>
      <c r="L633" s="55" t="str">
        <f t="shared" ca="1" si="21"/>
        <v>NE</v>
      </c>
    </row>
    <row r="634" spans="1:12" ht="27" thickBot="1">
      <c r="A634" s="72"/>
      <c r="B634" s="74"/>
      <c r="C634" s="71"/>
      <c r="D634" s="71"/>
      <c r="E634" s="72"/>
      <c r="F634" s="70"/>
      <c r="G634" s="72" t="str">
        <f t="shared" ca="1" si="20"/>
        <v/>
      </c>
      <c r="H634" s="72"/>
      <c r="I634" s="71"/>
      <c r="L634" s="55" t="str">
        <f t="shared" ca="1" si="21"/>
        <v>NE</v>
      </c>
    </row>
    <row r="635" spans="1:12" ht="27" thickBot="1">
      <c r="A635" s="72"/>
      <c r="B635" s="74"/>
      <c r="C635" s="71"/>
      <c r="D635" s="71"/>
      <c r="E635" s="72"/>
      <c r="F635" s="70"/>
      <c r="G635" s="72" t="str">
        <f t="shared" ca="1" si="20"/>
        <v/>
      </c>
      <c r="H635" s="72"/>
      <c r="I635" s="71"/>
      <c r="L635" s="55" t="str">
        <f t="shared" ca="1" si="21"/>
        <v>NE</v>
      </c>
    </row>
    <row r="636" spans="1:12" ht="27" thickBot="1">
      <c r="A636" s="72"/>
      <c r="B636" s="74"/>
      <c r="C636" s="71"/>
      <c r="D636" s="71"/>
      <c r="E636" s="72"/>
      <c r="F636" s="70"/>
      <c r="G636" s="72" t="str">
        <f t="shared" ca="1" si="20"/>
        <v/>
      </c>
      <c r="H636" s="72"/>
      <c r="I636" s="71"/>
      <c r="L636" s="55" t="str">
        <f t="shared" ca="1" si="21"/>
        <v>NE</v>
      </c>
    </row>
    <row r="637" spans="1:12" ht="27" thickBot="1">
      <c r="A637" s="72"/>
      <c r="B637" s="74"/>
      <c r="C637" s="71"/>
      <c r="D637" s="71"/>
      <c r="E637" s="72"/>
      <c r="F637" s="70"/>
      <c r="G637" s="72" t="str">
        <f t="shared" ca="1" si="20"/>
        <v/>
      </c>
      <c r="H637" s="72"/>
      <c r="I637" s="71"/>
      <c r="L637" s="55" t="str">
        <f t="shared" ca="1" si="21"/>
        <v>NE</v>
      </c>
    </row>
    <row r="638" spans="1:12" ht="27" thickBot="1">
      <c r="A638" s="72"/>
      <c r="B638" s="74"/>
      <c r="C638" s="71"/>
      <c r="D638" s="71"/>
      <c r="E638" s="72"/>
      <c r="F638" s="70"/>
      <c r="G638" s="72" t="str">
        <f t="shared" ca="1" si="20"/>
        <v/>
      </c>
      <c r="H638" s="72"/>
      <c r="I638" s="71"/>
      <c r="L638" s="55" t="str">
        <f t="shared" ca="1" si="21"/>
        <v>NE</v>
      </c>
    </row>
    <row r="639" spans="1:12" ht="27" thickBot="1">
      <c r="A639" s="72"/>
      <c r="B639" s="74"/>
      <c r="C639" s="71"/>
      <c r="D639" s="71"/>
      <c r="E639" s="72"/>
      <c r="F639" s="70"/>
      <c r="G639" s="72" t="str">
        <f t="shared" ca="1" si="20"/>
        <v/>
      </c>
      <c r="H639" s="72"/>
      <c r="I639" s="71"/>
      <c r="L639" s="55" t="str">
        <f t="shared" ca="1" si="21"/>
        <v>NE</v>
      </c>
    </row>
    <row r="640" spans="1:12" ht="27" thickBot="1">
      <c r="A640" s="72"/>
      <c r="B640" s="74"/>
      <c r="C640" s="71"/>
      <c r="D640" s="71"/>
      <c r="E640" s="72"/>
      <c r="F640" s="70"/>
      <c r="G640" s="72" t="str">
        <f t="shared" ca="1" si="20"/>
        <v/>
      </c>
      <c r="H640" s="72"/>
      <c r="I640" s="71"/>
      <c r="L640" s="55" t="str">
        <f t="shared" ca="1" si="21"/>
        <v>NE</v>
      </c>
    </row>
    <row r="641" spans="1:12" ht="27" thickBot="1">
      <c r="A641" s="72"/>
      <c r="B641" s="74"/>
      <c r="C641" s="71"/>
      <c r="D641" s="71"/>
      <c r="E641" s="72"/>
      <c r="F641" s="70"/>
      <c r="G641" s="72" t="str">
        <f t="shared" ca="1" si="20"/>
        <v/>
      </c>
      <c r="H641" s="72"/>
      <c r="I641" s="71"/>
      <c r="L641" s="55" t="str">
        <f t="shared" ca="1" si="21"/>
        <v>NE</v>
      </c>
    </row>
    <row r="642" spans="1:12" ht="27" thickBot="1">
      <c r="A642" s="72"/>
      <c r="B642" s="74"/>
      <c r="C642" s="71"/>
      <c r="D642" s="71"/>
      <c r="E642" s="72"/>
      <c r="F642" s="70"/>
      <c r="G642" s="72" t="str">
        <f t="shared" ca="1" si="20"/>
        <v/>
      </c>
      <c r="H642" s="72"/>
      <c r="I642" s="71"/>
      <c r="L642" s="55" t="str">
        <f t="shared" ca="1" si="21"/>
        <v>NE</v>
      </c>
    </row>
    <row r="643" spans="1:12" ht="27" thickBot="1">
      <c r="A643" s="72"/>
      <c r="B643" s="74"/>
      <c r="C643" s="71"/>
      <c r="D643" s="71"/>
      <c r="E643" s="72"/>
      <c r="F643" s="70"/>
      <c r="G643" s="72" t="str">
        <f t="shared" ca="1" si="20"/>
        <v/>
      </c>
      <c r="H643" s="72"/>
      <c r="I643" s="71"/>
      <c r="L643" s="55" t="str">
        <f t="shared" ca="1" si="21"/>
        <v>NE</v>
      </c>
    </row>
    <row r="644" spans="1:12" ht="27" thickBot="1">
      <c r="A644" s="72"/>
      <c r="B644" s="74"/>
      <c r="C644" s="71"/>
      <c r="D644" s="71"/>
      <c r="E644" s="72"/>
      <c r="F644" s="70"/>
      <c r="G644" s="72" t="str">
        <f t="shared" ca="1" si="20"/>
        <v/>
      </c>
      <c r="H644" s="72"/>
      <c r="I644" s="71"/>
      <c r="L644" s="55" t="str">
        <f t="shared" ca="1" si="21"/>
        <v>NE</v>
      </c>
    </row>
    <row r="645" spans="1:12" ht="27" thickBot="1">
      <c r="A645" s="72"/>
      <c r="B645" s="74"/>
      <c r="C645" s="71"/>
      <c r="D645" s="71"/>
      <c r="E645" s="72"/>
      <c r="F645" s="70"/>
      <c r="G645" s="72" t="str">
        <f t="shared" ca="1" si="20"/>
        <v/>
      </c>
      <c r="H645" s="72"/>
      <c r="I645" s="71"/>
      <c r="L645" s="55" t="str">
        <f t="shared" ca="1" si="21"/>
        <v>NE</v>
      </c>
    </row>
    <row r="646" spans="1:12" ht="27" thickBot="1">
      <c r="A646" s="72"/>
      <c r="B646" s="74"/>
      <c r="C646" s="71"/>
      <c r="D646" s="71"/>
      <c r="E646" s="72"/>
      <c r="F646" s="70"/>
      <c r="G646" s="72" t="str">
        <f t="shared" ca="1" si="20"/>
        <v/>
      </c>
      <c r="H646" s="72"/>
      <c r="I646" s="71"/>
      <c r="L646" s="55" t="str">
        <f t="shared" ca="1" si="21"/>
        <v>NE</v>
      </c>
    </row>
    <row r="647" spans="1:12" ht="27" thickBot="1">
      <c r="A647" s="72"/>
      <c r="B647" s="74"/>
      <c r="C647" s="71"/>
      <c r="D647" s="71"/>
      <c r="E647" s="72"/>
      <c r="F647" s="70"/>
      <c r="G647" s="72" t="str">
        <f t="shared" ca="1" si="20"/>
        <v/>
      </c>
      <c r="H647" s="72"/>
      <c r="I647" s="71"/>
      <c r="L647" s="55" t="str">
        <f t="shared" ca="1" si="21"/>
        <v>NE</v>
      </c>
    </row>
    <row r="648" spans="1:12" ht="27" thickBot="1">
      <c r="A648" s="72"/>
      <c r="B648" s="74"/>
      <c r="C648" s="71"/>
      <c r="D648" s="71"/>
      <c r="E648" s="72"/>
      <c r="F648" s="70"/>
      <c r="G648" s="72" t="str">
        <f t="shared" ca="1" si="20"/>
        <v/>
      </c>
      <c r="H648" s="72"/>
      <c r="I648" s="71"/>
      <c r="L648" s="55" t="str">
        <f t="shared" ca="1" si="21"/>
        <v>NE</v>
      </c>
    </row>
    <row r="649" spans="1:12" ht="27" thickBot="1">
      <c r="A649" s="72"/>
      <c r="B649" s="74"/>
      <c r="C649" s="71"/>
      <c r="D649" s="71"/>
      <c r="E649" s="72"/>
      <c r="F649" s="70"/>
      <c r="G649" s="72" t="str">
        <f t="shared" ca="1" si="20"/>
        <v/>
      </c>
      <c r="H649" s="72"/>
      <c r="I649" s="71"/>
      <c r="L649" s="55" t="str">
        <f t="shared" ca="1" si="21"/>
        <v>NE</v>
      </c>
    </row>
    <row r="650" spans="1:12" ht="27" thickBot="1">
      <c r="A650" s="72"/>
      <c r="B650" s="74"/>
      <c r="C650" s="71"/>
      <c r="D650" s="71"/>
      <c r="E650" s="72"/>
      <c r="F650" s="70"/>
      <c r="G650" s="72" t="str">
        <f t="shared" ca="1" si="20"/>
        <v/>
      </c>
      <c r="H650" s="72"/>
      <c r="I650" s="71"/>
      <c r="L650" s="55" t="str">
        <f t="shared" ca="1" si="21"/>
        <v>NE</v>
      </c>
    </row>
    <row r="651" spans="1:12" ht="27" thickBot="1">
      <c r="A651" s="72"/>
      <c r="B651" s="74"/>
      <c r="C651" s="71"/>
      <c r="D651" s="71"/>
      <c r="E651" s="72"/>
      <c r="F651" s="70"/>
      <c r="G651" s="72" t="str">
        <f t="shared" ca="1" si="20"/>
        <v/>
      </c>
      <c r="H651" s="72"/>
      <c r="I651" s="71"/>
      <c r="L651" s="55" t="str">
        <f t="shared" ca="1" si="21"/>
        <v>NE</v>
      </c>
    </row>
    <row r="652" spans="1:12" ht="27" thickBot="1">
      <c r="A652" s="72"/>
      <c r="B652" s="74"/>
      <c r="C652" s="71"/>
      <c r="D652" s="71"/>
      <c r="E652" s="72"/>
      <c r="F652" s="70"/>
      <c r="G652" s="72" t="str">
        <f t="shared" ca="1" si="20"/>
        <v/>
      </c>
      <c r="H652" s="72"/>
      <c r="I652" s="71"/>
      <c r="L652" s="55" t="str">
        <f t="shared" ca="1" si="21"/>
        <v>NE</v>
      </c>
    </row>
    <row r="653" spans="1:12" ht="27" thickBot="1">
      <c r="A653" s="72"/>
      <c r="B653" s="74"/>
      <c r="C653" s="71"/>
      <c r="D653" s="71"/>
      <c r="E653" s="72"/>
      <c r="F653" s="70"/>
      <c r="G653" s="72" t="str">
        <f t="shared" ca="1" si="20"/>
        <v/>
      </c>
      <c r="H653" s="72"/>
      <c r="I653" s="71"/>
      <c r="L653" s="55" t="str">
        <f t="shared" ca="1" si="21"/>
        <v>NE</v>
      </c>
    </row>
    <row r="654" spans="1:12" ht="27" thickBot="1">
      <c r="A654" s="72"/>
      <c r="B654" s="74"/>
      <c r="C654" s="71"/>
      <c r="D654" s="71"/>
      <c r="E654" s="72"/>
      <c r="F654" s="70"/>
      <c r="G654" s="72" t="str">
        <f t="shared" ca="1" si="20"/>
        <v/>
      </c>
      <c r="H654" s="72"/>
      <c r="I654" s="71"/>
      <c r="L654" s="55" t="str">
        <f t="shared" ca="1" si="21"/>
        <v>NE</v>
      </c>
    </row>
    <row r="655" spans="1:12" ht="27" thickBot="1">
      <c r="A655" s="72"/>
      <c r="B655" s="74"/>
      <c r="C655" s="71"/>
      <c r="D655" s="71"/>
      <c r="E655" s="72"/>
      <c r="F655" s="70"/>
      <c r="G655" s="72" t="str">
        <f t="shared" ca="1" si="20"/>
        <v/>
      </c>
      <c r="H655" s="72"/>
      <c r="I655" s="71"/>
      <c r="L655" s="55" t="str">
        <f t="shared" ca="1" si="21"/>
        <v>NE</v>
      </c>
    </row>
    <row r="656" spans="1:12" ht="27" thickBot="1">
      <c r="A656" s="72"/>
      <c r="B656" s="74"/>
      <c r="C656" s="71"/>
      <c r="D656" s="71"/>
      <c r="E656" s="72"/>
      <c r="F656" s="70"/>
      <c r="G656" s="72" t="str">
        <f t="shared" ca="1" si="20"/>
        <v/>
      </c>
      <c r="H656" s="72"/>
      <c r="I656" s="71"/>
      <c r="L656" s="55" t="str">
        <f t="shared" ca="1" si="21"/>
        <v>NE</v>
      </c>
    </row>
    <row r="657" spans="1:12" ht="27" thickBot="1">
      <c r="A657" s="72"/>
      <c r="B657" s="74"/>
      <c r="C657" s="71"/>
      <c r="D657" s="71"/>
      <c r="E657" s="72"/>
      <c r="F657" s="70"/>
      <c r="G657" s="72" t="str">
        <f t="shared" ca="1" si="20"/>
        <v/>
      </c>
      <c r="H657" s="72"/>
      <c r="I657" s="71"/>
      <c r="L657" s="55" t="str">
        <f t="shared" ca="1" si="21"/>
        <v>NE</v>
      </c>
    </row>
    <row r="658" spans="1:12" ht="27" thickBot="1">
      <c r="A658" s="72"/>
      <c r="B658" s="74"/>
      <c r="C658" s="71"/>
      <c r="D658" s="71"/>
      <c r="E658" s="72"/>
      <c r="F658" s="70"/>
      <c r="G658" s="72" t="str">
        <f t="shared" ca="1" si="20"/>
        <v/>
      </c>
      <c r="H658" s="72"/>
      <c r="I658" s="71"/>
      <c r="L658" s="55" t="str">
        <f t="shared" ca="1" si="21"/>
        <v>NE</v>
      </c>
    </row>
    <row r="659" spans="1:12" ht="27" thickBot="1">
      <c r="A659" s="72"/>
      <c r="B659" s="74"/>
      <c r="C659" s="71"/>
      <c r="D659" s="71"/>
      <c r="E659" s="72"/>
      <c r="F659" s="70"/>
      <c r="G659" s="72" t="str">
        <f t="shared" ca="1" si="20"/>
        <v/>
      </c>
      <c r="H659" s="72"/>
      <c r="I659" s="71"/>
      <c r="L659" s="55" t="str">
        <f t="shared" ca="1" si="21"/>
        <v>NE</v>
      </c>
    </row>
    <row r="660" spans="1:12" ht="27" thickBot="1">
      <c r="A660" s="72"/>
      <c r="B660" s="74"/>
      <c r="C660" s="71"/>
      <c r="D660" s="71"/>
      <c r="E660" s="72"/>
      <c r="F660" s="70"/>
      <c r="G660" s="72" t="str">
        <f t="shared" ca="1" si="20"/>
        <v/>
      </c>
      <c r="H660" s="72"/>
      <c r="I660" s="71"/>
      <c r="L660" s="55" t="str">
        <f t="shared" ca="1" si="21"/>
        <v>NE</v>
      </c>
    </row>
    <row r="661" spans="1:12" ht="27" thickBot="1">
      <c r="A661" s="72"/>
      <c r="B661" s="74"/>
      <c r="C661" s="71"/>
      <c r="D661" s="71"/>
      <c r="E661" s="72"/>
      <c r="F661" s="70"/>
      <c r="G661" s="72" t="str">
        <f t="shared" ca="1" si="20"/>
        <v/>
      </c>
      <c r="H661" s="72"/>
      <c r="I661" s="71"/>
      <c r="L661" s="55" t="str">
        <f t="shared" ca="1" si="21"/>
        <v>NE</v>
      </c>
    </row>
    <row r="662" spans="1:12" ht="27" thickBot="1">
      <c r="A662" s="72"/>
      <c r="B662" s="74"/>
      <c r="C662" s="71"/>
      <c r="D662" s="71"/>
      <c r="E662" s="72"/>
      <c r="F662" s="70"/>
      <c r="G662" s="72" t="str">
        <f t="shared" ca="1" si="20"/>
        <v/>
      </c>
      <c r="H662" s="72"/>
      <c r="I662" s="71"/>
      <c r="L662" s="55" t="str">
        <f t="shared" ca="1" si="21"/>
        <v>NE</v>
      </c>
    </row>
    <row r="663" spans="1:12" ht="27" thickBot="1">
      <c r="A663" s="72"/>
      <c r="B663" s="74"/>
      <c r="C663" s="71"/>
      <c r="D663" s="71"/>
      <c r="E663" s="72"/>
      <c r="F663" s="70"/>
      <c r="G663" s="72" t="str">
        <f t="shared" ca="1" si="20"/>
        <v/>
      </c>
      <c r="H663" s="72"/>
      <c r="I663" s="71"/>
      <c r="L663" s="55" t="str">
        <f t="shared" ca="1" si="21"/>
        <v>NE</v>
      </c>
    </row>
    <row r="664" spans="1:12" ht="27" thickBot="1">
      <c r="A664" s="72"/>
      <c r="B664" s="74"/>
      <c r="C664" s="71"/>
      <c r="D664" s="71"/>
      <c r="E664" s="72"/>
      <c r="F664" s="70"/>
      <c r="G664" s="72" t="str">
        <f t="shared" ca="1" si="20"/>
        <v/>
      </c>
      <c r="H664" s="72"/>
      <c r="I664" s="71"/>
      <c r="L664" s="55" t="str">
        <f t="shared" ca="1" si="21"/>
        <v>NE</v>
      </c>
    </row>
    <row r="665" spans="1:12" ht="27" thickBot="1">
      <c r="A665" s="72"/>
      <c r="B665" s="74"/>
      <c r="C665" s="71"/>
      <c r="D665" s="71"/>
      <c r="E665" s="72"/>
      <c r="F665" s="70"/>
      <c r="G665" s="72" t="str">
        <f t="shared" ca="1" si="20"/>
        <v/>
      </c>
      <c r="H665" s="72"/>
      <c r="I665" s="71"/>
      <c r="L665" s="55" t="str">
        <f t="shared" ca="1" si="21"/>
        <v>NE</v>
      </c>
    </row>
    <row r="666" spans="1:12" ht="27" thickBot="1">
      <c r="A666" s="72"/>
      <c r="B666" s="74"/>
      <c r="C666" s="71"/>
      <c r="D666" s="71"/>
      <c r="E666" s="72"/>
      <c r="F666" s="70"/>
      <c r="G666" s="72" t="str">
        <f t="shared" ca="1" si="20"/>
        <v/>
      </c>
      <c r="H666" s="72"/>
      <c r="I666" s="71"/>
      <c r="L666" s="55" t="str">
        <f t="shared" ca="1" si="21"/>
        <v>NE</v>
      </c>
    </row>
    <row r="667" spans="1:12" ht="27" thickBot="1">
      <c r="A667" s="72"/>
      <c r="B667" s="74"/>
      <c r="C667" s="71"/>
      <c r="D667" s="71"/>
      <c r="E667" s="72"/>
      <c r="F667" s="70"/>
      <c r="G667" s="72" t="str">
        <f t="shared" ca="1" si="20"/>
        <v/>
      </c>
      <c r="H667" s="72"/>
      <c r="I667" s="71"/>
      <c r="L667" s="55" t="str">
        <f t="shared" ca="1" si="21"/>
        <v>NE</v>
      </c>
    </row>
    <row r="668" spans="1:12" ht="27" thickBot="1">
      <c r="A668" s="72"/>
      <c r="B668" s="74"/>
      <c r="C668" s="71"/>
      <c r="D668" s="71"/>
      <c r="E668" s="72"/>
      <c r="F668" s="70"/>
      <c r="G668" s="72" t="str">
        <f t="shared" ca="1" si="20"/>
        <v/>
      </c>
      <c r="H668" s="72"/>
      <c r="I668" s="71"/>
      <c r="L668" s="55" t="str">
        <f t="shared" ca="1" si="21"/>
        <v>NE</v>
      </c>
    </row>
    <row r="669" spans="1:12" ht="27" thickBot="1">
      <c r="A669" s="72"/>
      <c r="B669" s="74"/>
      <c r="C669" s="71"/>
      <c r="D669" s="71"/>
      <c r="E669" s="72"/>
      <c r="F669" s="70"/>
      <c r="G669" s="72" t="str">
        <f t="shared" ca="1" si="20"/>
        <v/>
      </c>
      <c r="H669" s="72"/>
      <c r="I669" s="71"/>
      <c r="L669" s="55" t="str">
        <f t="shared" ca="1" si="21"/>
        <v>NE</v>
      </c>
    </row>
    <row r="670" spans="1:12" ht="27" thickBot="1">
      <c r="A670" s="72"/>
      <c r="B670" s="74"/>
      <c r="C670" s="71"/>
      <c r="D670" s="71"/>
      <c r="E670" s="72"/>
      <c r="F670" s="70"/>
      <c r="G670" s="72" t="str">
        <f t="shared" ca="1" si="20"/>
        <v/>
      </c>
      <c r="H670" s="72"/>
      <c r="I670" s="71"/>
      <c r="L670" s="55" t="str">
        <f t="shared" ca="1" si="21"/>
        <v>NE</v>
      </c>
    </row>
    <row r="671" spans="1:12" ht="27" thickBot="1">
      <c r="A671" s="72"/>
      <c r="B671" s="74"/>
      <c r="C671" s="71"/>
      <c r="D671" s="71"/>
      <c r="E671" s="72"/>
      <c r="F671" s="70"/>
      <c r="G671" s="72" t="str">
        <f t="shared" ca="1" si="20"/>
        <v/>
      </c>
      <c r="H671" s="72"/>
      <c r="I671" s="71"/>
      <c r="L671" s="55" t="str">
        <f t="shared" ca="1" si="21"/>
        <v>NE</v>
      </c>
    </row>
    <row r="672" spans="1:12" ht="27" thickBot="1">
      <c r="A672" s="72"/>
      <c r="B672" s="74"/>
      <c r="C672" s="71"/>
      <c r="D672" s="71"/>
      <c r="E672" s="72"/>
      <c r="F672" s="70"/>
      <c r="G672" s="72" t="str">
        <f t="shared" ca="1" si="20"/>
        <v/>
      </c>
      <c r="H672" s="72"/>
      <c r="I672" s="71"/>
      <c r="L672" s="55" t="str">
        <f t="shared" ca="1" si="21"/>
        <v>NE</v>
      </c>
    </row>
    <row r="673" spans="1:12" ht="27" thickBot="1">
      <c r="A673" s="72"/>
      <c r="B673" s="74"/>
      <c r="C673" s="71"/>
      <c r="D673" s="71"/>
      <c r="E673" s="72"/>
      <c r="F673" s="70"/>
      <c r="G673" s="72" t="str">
        <f t="shared" ca="1" si="20"/>
        <v/>
      </c>
      <c r="H673" s="72"/>
      <c r="I673" s="71"/>
      <c r="L673" s="55" t="str">
        <f t="shared" ca="1" si="21"/>
        <v>NE</v>
      </c>
    </row>
    <row r="674" spans="1:12" ht="27" thickBot="1">
      <c r="A674" s="72"/>
      <c r="B674" s="74"/>
      <c r="C674" s="71"/>
      <c r="D674" s="71"/>
      <c r="E674" s="72"/>
      <c r="F674" s="70"/>
      <c r="G674" s="72" t="str">
        <f t="shared" ca="1" si="20"/>
        <v/>
      </c>
      <c r="H674" s="72"/>
      <c r="I674" s="71"/>
      <c r="L674" s="55" t="str">
        <f t="shared" ca="1" si="21"/>
        <v>NE</v>
      </c>
    </row>
    <row r="675" spans="1:12" ht="27" thickBot="1">
      <c r="A675" s="72"/>
      <c r="B675" s="74"/>
      <c r="C675" s="71"/>
      <c r="D675" s="71"/>
      <c r="E675" s="72"/>
      <c r="F675" s="70"/>
      <c r="G675" s="72" t="str">
        <f t="shared" ca="1" si="20"/>
        <v/>
      </c>
      <c r="H675" s="72"/>
      <c r="I675" s="71"/>
      <c r="L675" s="55" t="str">
        <f t="shared" ca="1" si="21"/>
        <v>NE</v>
      </c>
    </row>
    <row r="676" spans="1:12" ht="27" thickBot="1">
      <c r="A676" s="72"/>
      <c r="B676" s="74"/>
      <c r="C676" s="71"/>
      <c r="D676" s="71"/>
      <c r="E676" s="72"/>
      <c r="F676" s="70"/>
      <c r="G676" s="72" t="str">
        <f t="shared" ca="1" si="20"/>
        <v/>
      </c>
      <c r="H676" s="72"/>
      <c r="I676" s="71"/>
      <c r="L676" s="55" t="str">
        <f t="shared" ca="1" si="21"/>
        <v>NE</v>
      </c>
    </row>
    <row r="677" spans="1:12" ht="27" thickBot="1">
      <c r="A677" s="72"/>
      <c r="B677" s="74"/>
      <c r="C677" s="71"/>
      <c r="D677" s="71"/>
      <c r="E677" s="72"/>
      <c r="F677" s="70"/>
      <c r="G677" s="72" t="str">
        <f t="shared" ca="1" si="20"/>
        <v/>
      </c>
      <c r="H677" s="72"/>
      <c r="I677" s="71"/>
      <c r="L677" s="55" t="str">
        <f t="shared" ca="1" si="21"/>
        <v>NE</v>
      </c>
    </row>
    <row r="678" spans="1:12" ht="27" thickBot="1">
      <c r="A678" s="72"/>
      <c r="B678" s="74"/>
      <c r="C678" s="71"/>
      <c r="D678" s="71"/>
      <c r="E678" s="72"/>
      <c r="F678" s="70"/>
      <c r="G678" s="72" t="str">
        <f t="shared" ca="1" si="20"/>
        <v/>
      </c>
      <c r="H678" s="72"/>
      <c r="I678" s="71"/>
      <c r="L678" s="55" t="str">
        <f t="shared" ca="1" si="21"/>
        <v>NE</v>
      </c>
    </row>
    <row r="679" spans="1:12" ht="27" thickBot="1">
      <c r="A679" s="72"/>
      <c r="B679" s="74"/>
      <c r="C679" s="71"/>
      <c r="D679" s="71"/>
      <c r="E679" s="72"/>
      <c r="F679" s="70"/>
      <c r="G679" s="72" t="str">
        <f t="shared" ca="1" si="20"/>
        <v/>
      </c>
      <c r="H679" s="72"/>
      <c r="I679" s="71"/>
      <c r="L679" s="55" t="str">
        <f t="shared" ca="1" si="21"/>
        <v>NE</v>
      </c>
    </row>
    <row r="680" spans="1:12" ht="27" thickBot="1">
      <c r="A680" s="72"/>
      <c r="B680" s="74"/>
      <c r="C680" s="71"/>
      <c r="D680" s="71"/>
      <c r="E680" s="72"/>
      <c r="F680" s="70"/>
      <c r="G680" s="72" t="str">
        <f t="shared" ca="1" si="20"/>
        <v/>
      </c>
      <c r="H680" s="72"/>
      <c r="I680" s="71"/>
      <c r="L680" s="55" t="str">
        <f t="shared" ca="1" si="21"/>
        <v>NE</v>
      </c>
    </row>
    <row r="681" spans="1:12" ht="27" thickBot="1">
      <c r="A681" s="72"/>
      <c r="B681" s="74"/>
      <c r="C681" s="71"/>
      <c r="D681" s="71"/>
      <c r="E681" s="72"/>
      <c r="F681" s="70"/>
      <c r="G681" s="72" t="str">
        <f t="shared" ca="1" si="20"/>
        <v/>
      </c>
      <c r="H681" s="72"/>
      <c r="I681" s="71"/>
      <c r="L681" s="55" t="str">
        <f t="shared" ca="1" si="21"/>
        <v>NE</v>
      </c>
    </row>
    <row r="682" spans="1:12" ht="27" thickBot="1">
      <c r="A682" s="72"/>
      <c r="B682" s="74"/>
      <c r="C682" s="71"/>
      <c r="D682" s="71"/>
      <c r="E682" s="72"/>
      <c r="F682" s="70"/>
      <c r="G682" s="72" t="str">
        <f t="shared" ca="1" si="20"/>
        <v/>
      </c>
      <c r="H682" s="72"/>
      <c r="I682" s="71"/>
      <c r="L682" s="55" t="str">
        <f t="shared" ca="1" si="21"/>
        <v>NE</v>
      </c>
    </row>
    <row r="683" spans="1:12" ht="27" thickBot="1">
      <c r="A683" s="72"/>
      <c r="B683" s="74"/>
      <c r="C683" s="71"/>
      <c r="D683" s="71"/>
      <c r="E683" s="72"/>
      <c r="F683" s="70"/>
      <c r="G683" s="72" t="str">
        <f t="shared" ca="1" si="20"/>
        <v/>
      </c>
      <c r="H683" s="72"/>
      <c r="I683" s="71"/>
      <c r="L683" s="55" t="str">
        <f t="shared" ca="1" si="21"/>
        <v>NE</v>
      </c>
    </row>
    <row r="684" spans="1:12" ht="27" thickBot="1">
      <c r="A684" s="72"/>
      <c r="B684" s="74"/>
      <c r="C684" s="71"/>
      <c r="D684" s="71"/>
      <c r="E684" s="72"/>
      <c r="F684" s="70"/>
      <c r="G684" s="72" t="str">
        <f t="shared" ca="1" si="20"/>
        <v/>
      </c>
      <c r="H684" s="72"/>
      <c r="I684" s="71"/>
      <c r="L684" s="55" t="str">
        <f t="shared" ca="1" si="21"/>
        <v>NE</v>
      </c>
    </row>
    <row r="685" spans="1:12" ht="27" thickBot="1">
      <c r="A685" s="72"/>
      <c r="B685" s="74"/>
      <c r="C685" s="71"/>
      <c r="D685" s="71"/>
      <c r="E685" s="72"/>
      <c r="F685" s="70"/>
      <c r="G685" s="72" t="str">
        <f t="shared" ca="1" si="20"/>
        <v/>
      </c>
      <c r="H685" s="72"/>
      <c r="I685" s="71"/>
      <c r="L685" s="55" t="str">
        <f t="shared" ca="1" si="21"/>
        <v>NE</v>
      </c>
    </row>
    <row r="686" spans="1:12" ht="27" thickBot="1">
      <c r="A686" s="72"/>
      <c r="B686" s="74"/>
      <c r="C686" s="71"/>
      <c r="D686" s="71"/>
      <c r="E686" s="72"/>
      <c r="F686" s="70"/>
      <c r="G686" s="72" t="str">
        <f t="shared" ref="G686:G749" ca="1" si="22">IF(ISBLANK(F686),"",IF(F686&gt;=TODAY(), "Non Echue", "Echue"))</f>
        <v/>
      </c>
      <c r="H686" s="72"/>
      <c r="I686" s="71"/>
      <c r="L686" s="55" t="str">
        <f t="shared" ref="L686:L749" ca="1" si="23" xml:space="preserve"> IF(G686 = "Echue",IF(H686 = "Appliqué","EAP","NAP"),"NE")</f>
        <v>NE</v>
      </c>
    </row>
    <row r="687" spans="1:12" ht="27" thickBot="1">
      <c r="A687" s="72"/>
      <c r="B687" s="74"/>
      <c r="C687" s="71"/>
      <c r="D687" s="71"/>
      <c r="E687" s="72"/>
      <c r="F687" s="70"/>
      <c r="G687" s="72" t="str">
        <f t="shared" ca="1" si="22"/>
        <v/>
      </c>
      <c r="H687" s="72"/>
      <c r="I687" s="71"/>
      <c r="L687" s="55" t="str">
        <f t="shared" ca="1" si="23"/>
        <v>NE</v>
      </c>
    </row>
    <row r="688" spans="1:12" ht="27" thickBot="1">
      <c r="A688" s="72"/>
      <c r="B688" s="74"/>
      <c r="C688" s="71"/>
      <c r="D688" s="71"/>
      <c r="E688" s="72"/>
      <c r="F688" s="70"/>
      <c r="G688" s="72" t="str">
        <f t="shared" ca="1" si="22"/>
        <v/>
      </c>
      <c r="H688" s="72"/>
      <c r="I688" s="71"/>
      <c r="L688" s="55" t="str">
        <f t="shared" ca="1" si="23"/>
        <v>NE</v>
      </c>
    </row>
    <row r="689" spans="1:12" ht="27" thickBot="1">
      <c r="A689" s="72"/>
      <c r="B689" s="74"/>
      <c r="C689" s="71"/>
      <c r="D689" s="71"/>
      <c r="E689" s="72"/>
      <c r="F689" s="70"/>
      <c r="G689" s="72" t="str">
        <f t="shared" ca="1" si="22"/>
        <v/>
      </c>
      <c r="H689" s="72"/>
      <c r="I689" s="71"/>
      <c r="L689" s="55" t="str">
        <f t="shared" ca="1" si="23"/>
        <v>NE</v>
      </c>
    </row>
    <row r="690" spans="1:12" ht="27" thickBot="1">
      <c r="A690" s="72"/>
      <c r="B690" s="74"/>
      <c r="C690" s="71"/>
      <c r="D690" s="71"/>
      <c r="E690" s="72"/>
      <c r="F690" s="70"/>
      <c r="G690" s="72" t="str">
        <f t="shared" ca="1" si="22"/>
        <v/>
      </c>
      <c r="H690" s="72"/>
      <c r="I690" s="71"/>
      <c r="L690" s="55" t="str">
        <f t="shared" ca="1" si="23"/>
        <v>NE</v>
      </c>
    </row>
    <row r="691" spans="1:12" ht="27" thickBot="1">
      <c r="A691" s="72"/>
      <c r="B691" s="74"/>
      <c r="C691" s="71"/>
      <c r="D691" s="71"/>
      <c r="E691" s="72"/>
      <c r="F691" s="70"/>
      <c r="G691" s="72" t="str">
        <f t="shared" ca="1" si="22"/>
        <v/>
      </c>
      <c r="H691" s="72"/>
      <c r="I691" s="71"/>
      <c r="L691" s="55" t="str">
        <f t="shared" ca="1" si="23"/>
        <v>NE</v>
      </c>
    </row>
    <row r="692" spans="1:12" ht="27" thickBot="1">
      <c r="A692" s="72"/>
      <c r="B692" s="74"/>
      <c r="C692" s="71"/>
      <c r="D692" s="71"/>
      <c r="E692" s="72"/>
      <c r="F692" s="70"/>
      <c r="G692" s="72" t="str">
        <f t="shared" ca="1" si="22"/>
        <v/>
      </c>
      <c r="H692" s="72"/>
      <c r="I692" s="71"/>
      <c r="L692" s="55" t="str">
        <f t="shared" ca="1" si="23"/>
        <v>NE</v>
      </c>
    </row>
    <row r="693" spans="1:12" ht="27" thickBot="1">
      <c r="A693" s="72"/>
      <c r="B693" s="74"/>
      <c r="C693" s="71"/>
      <c r="D693" s="71"/>
      <c r="E693" s="72"/>
      <c r="F693" s="70"/>
      <c r="G693" s="72" t="str">
        <f t="shared" ca="1" si="22"/>
        <v/>
      </c>
      <c r="H693" s="72"/>
      <c r="I693" s="71"/>
      <c r="L693" s="55" t="str">
        <f t="shared" ca="1" si="23"/>
        <v>NE</v>
      </c>
    </row>
    <row r="694" spans="1:12" ht="27" thickBot="1">
      <c r="A694" s="72"/>
      <c r="B694" s="74"/>
      <c r="C694" s="71"/>
      <c r="D694" s="71"/>
      <c r="E694" s="72"/>
      <c r="F694" s="70"/>
      <c r="G694" s="72" t="str">
        <f t="shared" ca="1" si="22"/>
        <v/>
      </c>
      <c r="H694" s="72"/>
      <c r="I694" s="71"/>
      <c r="L694" s="55" t="str">
        <f t="shared" ca="1" si="23"/>
        <v>NE</v>
      </c>
    </row>
    <row r="695" spans="1:12" ht="27" thickBot="1">
      <c r="A695" s="72"/>
      <c r="B695" s="74"/>
      <c r="C695" s="71"/>
      <c r="D695" s="71"/>
      <c r="E695" s="72"/>
      <c r="F695" s="70"/>
      <c r="G695" s="72" t="str">
        <f t="shared" ca="1" si="22"/>
        <v/>
      </c>
      <c r="H695" s="72"/>
      <c r="I695" s="71"/>
      <c r="L695" s="55" t="str">
        <f t="shared" ca="1" si="23"/>
        <v>NE</v>
      </c>
    </row>
    <row r="696" spans="1:12" ht="27" thickBot="1">
      <c r="A696" s="72"/>
      <c r="B696" s="74"/>
      <c r="C696" s="71"/>
      <c r="D696" s="71"/>
      <c r="E696" s="72"/>
      <c r="F696" s="70"/>
      <c r="G696" s="72" t="str">
        <f t="shared" ca="1" si="22"/>
        <v/>
      </c>
      <c r="H696" s="72"/>
      <c r="I696" s="71"/>
      <c r="L696" s="55" t="str">
        <f t="shared" ca="1" si="23"/>
        <v>NE</v>
      </c>
    </row>
    <row r="697" spans="1:12" ht="27" thickBot="1">
      <c r="A697" s="72"/>
      <c r="B697" s="74"/>
      <c r="C697" s="71"/>
      <c r="D697" s="71"/>
      <c r="E697" s="72"/>
      <c r="F697" s="70"/>
      <c r="G697" s="72" t="str">
        <f t="shared" ca="1" si="22"/>
        <v/>
      </c>
      <c r="H697" s="72"/>
      <c r="I697" s="71"/>
      <c r="L697" s="55" t="str">
        <f t="shared" ca="1" si="23"/>
        <v>NE</v>
      </c>
    </row>
    <row r="698" spans="1:12" ht="27" thickBot="1">
      <c r="A698" s="72"/>
      <c r="B698" s="74"/>
      <c r="C698" s="71"/>
      <c r="D698" s="71"/>
      <c r="E698" s="72"/>
      <c r="F698" s="70"/>
      <c r="G698" s="72" t="str">
        <f t="shared" ca="1" si="22"/>
        <v/>
      </c>
      <c r="H698" s="72"/>
      <c r="I698" s="71"/>
      <c r="L698" s="55" t="str">
        <f t="shared" ca="1" si="23"/>
        <v>NE</v>
      </c>
    </row>
    <row r="699" spans="1:12" ht="27" thickBot="1">
      <c r="A699" s="72"/>
      <c r="B699" s="74"/>
      <c r="C699" s="71"/>
      <c r="D699" s="71"/>
      <c r="E699" s="72"/>
      <c r="F699" s="70"/>
      <c r="G699" s="72" t="str">
        <f t="shared" ca="1" si="22"/>
        <v/>
      </c>
      <c r="H699" s="72"/>
      <c r="I699" s="71"/>
      <c r="L699" s="55" t="str">
        <f t="shared" ca="1" si="23"/>
        <v>NE</v>
      </c>
    </row>
    <row r="700" spans="1:12" ht="27" thickBot="1">
      <c r="A700" s="72"/>
      <c r="B700" s="74"/>
      <c r="C700" s="71"/>
      <c r="D700" s="71"/>
      <c r="E700" s="72"/>
      <c r="F700" s="70"/>
      <c r="G700" s="72" t="str">
        <f t="shared" ca="1" si="22"/>
        <v/>
      </c>
      <c r="H700" s="72"/>
      <c r="I700" s="71"/>
      <c r="L700" s="55" t="str">
        <f t="shared" ca="1" si="23"/>
        <v>NE</v>
      </c>
    </row>
    <row r="701" spans="1:12" ht="27" thickBot="1">
      <c r="A701" s="72"/>
      <c r="B701" s="74"/>
      <c r="C701" s="71"/>
      <c r="D701" s="71"/>
      <c r="E701" s="72"/>
      <c r="F701" s="70"/>
      <c r="G701" s="72" t="str">
        <f t="shared" ca="1" si="22"/>
        <v/>
      </c>
      <c r="H701" s="72"/>
      <c r="I701" s="71"/>
      <c r="L701" s="55" t="str">
        <f t="shared" ca="1" si="23"/>
        <v>NE</v>
      </c>
    </row>
    <row r="702" spans="1:12" ht="27" thickBot="1">
      <c r="A702" s="72"/>
      <c r="B702" s="74"/>
      <c r="C702" s="71"/>
      <c r="D702" s="71"/>
      <c r="E702" s="72"/>
      <c r="F702" s="70"/>
      <c r="G702" s="72" t="str">
        <f t="shared" ca="1" si="22"/>
        <v/>
      </c>
      <c r="H702" s="72"/>
      <c r="I702" s="71"/>
      <c r="L702" s="55" t="str">
        <f t="shared" ca="1" si="23"/>
        <v>NE</v>
      </c>
    </row>
    <row r="703" spans="1:12" ht="27" thickBot="1">
      <c r="A703" s="72"/>
      <c r="B703" s="74"/>
      <c r="C703" s="71"/>
      <c r="D703" s="71"/>
      <c r="E703" s="72"/>
      <c r="F703" s="70"/>
      <c r="G703" s="72" t="str">
        <f t="shared" ca="1" si="22"/>
        <v/>
      </c>
      <c r="H703" s="72"/>
      <c r="I703" s="71"/>
      <c r="L703" s="55" t="str">
        <f t="shared" ca="1" si="23"/>
        <v>NE</v>
      </c>
    </row>
    <row r="704" spans="1:12" ht="27" thickBot="1">
      <c r="A704" s="72"/>
      <c r="B704" s="74"/>
      <c r="C704" s="71"/>
      <c r="D704" s="71"/>
      <c r="E704" s="72"/>
      <c r="F704" s="70"/>
      <c r="G704" s="72" t="str">
        <f t="shared" ca="1" si="22"/>
        <v/>
      </c>
      <c r="H704" s="72"/>
      <c r="I704" s="71"/>
      <c r="L704" s="55" t="str">
        <f t="shared" ca="1" si="23"/>
        <v>NE</v>
      </c>
    </row>
    <row r="705" spans="1:12" ht="27" thickBot="1">
      <c r="A705" s="72"/>
      <c r="B705" s="74"/>
      <c r="C705" s="71"/>
      <c r="D705" s="71"/>
      <c r="E705" s="72"/>
      <c r="F705" s="70"/>
      <c r="G705" s="72" t="str">
        <f t="shared" ca="1" si="22"/>
        <v/>
      </c>
      <c r="H705" s="72"/>
      <c r="I705" s="71"/>
      <c r="L705" s="55" t="str">
        <f t="shared" ca="1" si="23"/>
        <v>NE</v>
      </c>
    </row>
    <row r="706" spans="1:12" ht="27" thickBot="1">
      <c r="A706" s="72"/>
      <c r="B706" s="74"/>
      <c r="C706" s="71"/>
      <c r="D706" s="71"/>
      <c r="E706" s="72"/>
      <c r="F706" s="70"/>
      <c r="G706" s="72" t="str">
        <f t="shared" ca="1" si="22"/>
        <v/>
      </c>
      <c r="H706" s="72"/>
      <c r="I706" s="71"/>
      <c r="L706" s="55" t="str">
        <f t="shared" ca="1" si="23"/>
        <v>NE</v>
      </c>
    </row>
    <row r="707" spans="1:12" ht="27" thickBot="1">
      <c r="A707" s="72"/>
      <c r="B707" s="74"/>
      <c r="C707" s="71"/>
      <c r="D707" s="71"/>
      <c r="E707" s="72"/>
      <c r="F707" s="70"/>
      <c r="G707" s="72" t="str">
        <f t="shared" ca="1" si="22"/>
        <v/>
      </c>
      <c r="H707" s="72"/>
      <c r="I707" s="71"/>
      <c r="L707" s="55" t="str">
        <f t="shared" ca="1" si="23"/>
        <v>NE</v>
      </c>
    </row>
    <row r="708" spans="1:12" ht="27" thickBot="1">
      <c r="A708" s="72"/>
      <c r="B708" s="74"/>
      <c r="C708" s="71"/>
      <c r="D708" s="71"/>
      <c r="E708" s="72"/>
      <c r="F708" s="70"/>
      <c r="G708" s="72" t="str">
        <f t="shared" ca="1" si="22"/>
        <v/>
      </c>
      <c r="H708" s="72"/>
      <c r="I708" s="71"/>
      <c r="L708" s="55" t="str">
        <f t="shared" ca="1" si="23"/>
        <v>NE</v>
      </c>
    </row>
    <row r="709" spans="1:12" ht="27" thickBot="1">
      <c r="A709" s="72"/>
      <c r="B709" s="74"/>
      <c r="C709" s="71"/>
      <c r="D709" s="71"/>
      <c r="E709" s="72"/>
      <c r="F709" s="70"/>
      <c r="G709" s="72" t="str">
        <f t="shared" ca="1" si="22"/>
        <v/>
      </c>
      <c r="H709" s="72"/>
      <c r="I709" s="71"/>
      <c r="L709" s="55" t="str">
        <f t="shared" ca="1" si="23"/>
        <v>NE</v>
      </c>
    </row>
    <row r="710" spans="1:12" ht="27" thickBot="1">
      <c r="A710" s="72"/>
      <c r="B710" s="74"/>
      <c r="C710" s="71"/>
      <c r="D710" s="71"/>
      <c r="E710" s="72"/>
      <c r="F710" s="70"/>
      <c r="G710" s="72" t="str">
        <f t="shared" ca="1" si="22"/>
        <v/>
      </c>
      <c r="H710" s="72"/>
      <c r="I710" s="71"/>
      <c r="L710" s="55" t="str">
        <f t="shared" ca="1" si="23"/>
        <v>NE</v>
      </c>
    </row>
    <row r="711" spans="1:12" ht="27" thickBot="1">
      <c r="A711" s="72"/>
      <c r="B711" s="74"/>
      <c r="C711" s="71"/>
      <c r="D711" s="71"/>
      <c r="E711" s="72"/>
      <c r="F711" s="70"/>
      <c r="G711" s="72" t="str">
        <f t="shared" ca="1" si="22"/>
        <v/>
      </c>
      <c r="H711" s="72"/>
      <c r="I711" s="71"/>
      <c r="L711" s="55" t="str">
        <f t="shared" ca="1" si="23"/>
        <v>NE</v>
      </c>
    </row>
    <row r="712" spans="1:12" ht="27" thickBot="1">
      <c r="A712" s="72"/>
      <c r="B712" s="74"/>
      <c r="C712" s="71"/>
      <c r="D712" s="71"/>
      <c r="E712" s="72"/>
      <c r="F712" s="70"/>
      <c r="G712" s="72" t="str">
        <f t="shared" ca="1" si="22"/>
        <v/>
      </c>
      <c r="H712" s="72"/>
      <c r="I712" s="71"/>
      <c r="L712" s="55" t="str">
        <f t="shared" ca="1" si="23"/>
        <v>NE</v>
      </c>
    </row>
    <row r="713" spans="1:12" ht="27" thickBot="1">
      <c r="A713" s="72"/>
      <c r="B713" s="74"/>
      <c r="C713" s="71"/>
      <c r="D713" s="71"/>
      <c r="E713" s="72"/>
      <c r="F713" s="70"/>
      <c r="G713" s="72" t="str">
        <f t="shared" ca="1" si="22"/>
        <v/>
      </c>
      <c r="H713" s="72"/>
      <c r="I713" s="71"/>
      <c r="L713" s="55" t="str">
        <f t="shared" ca="1" si="23"/>
        <v>NE</v>
      </c>
    </row>
    <row r="714" spans="1:12" ht="27" thickBot="1">
      <c r="A714" s="72"/>
      <c r="B714" s="74"/>
      <c r="C714" s="71"/>
      <c r="D714" s="71"/>
      <c r="E714" s="72"/>
      <c r="F714" s="70"/>
      <c r="G714" s="72" t="str">
        <f t="shared" ca="1" si="22"/>
        <v/>
      </c>
      <c r="H714" s="72"/>
      <c r="I714" s="71"/>
      <c r="L714" s="55" t="str">
        <f t="shared" ca="1" si="23"/>
        <v>NE</v>
      </c>
    </row>
    <row r="715" spans="1:12" ht="27" thickBot="1">
      <c r="A715" s="72"/>
      <c r="B715" s="74"/>
      <c r="C715" s="71"/>
      <c r="D715" s="71"/>
      <c r="E715" s="72"/>
      <c r="F715" s="70"/>
      <c r="G715" s="72" t="str">
        <f t="shared" ca="1" si="22"/>
        <v/>
      </c>
      <c r="H715" s="72"/>
      <c r="I715" s="71"/>
      <c r="L715" s="55" t="str">
        <f t="shared" ca="1" si="23"/>
        <v>NE</v>
      </c>
    </row>
    <row r="716" spans="1:12" ht="27" thickBot="1">
      <c r="A716" s="72"/>
      <c r="B716" s="74"/>
      <c r="C716" s="71"/>
      <c r="D716" s="71"/>
      <c r="E716" s="72"/>
      <c r="F716" s="70"/>
      <c r="G716" s="72" t="str">
        <f t="shared" ca="1" si="22"/>
        <v/>
      </c>
      <c r="H716" s="72"/>
      <c r="I716" s="71"/>
      <c r="L716" s="55" t="str">
        <f t="shared" ca="1" si="23"/>
        <v>NE</v>
      </c>
    </row>
    <row r="717" spans="1:12" ht="27" thickBot="1">
      <c r="A717" s="72"/>
      <c r="B717" s="74"/>
      <c r="C717" s="71"/>
      <c r="D717" s="71"/>
      <c r="E717" s="72"/>
      <c r="F717" s="70"/>
      <c r="G717" s="72" t="str">
        <f t="shared" ca="1" si="22"/>
        <v/>
      </c>
      <c r="H717" s="72"/>
      <c r="I717" s="71"/>
      <c r="L717" s="55" t="str">
        <f t="shared" ca="1" si="23"/>
        <v>NE</v>
      </c>
    </row>
    <row r="718" spans="1:12" ht="27" thickBot="1">
      <c r="A718" s="72"/>
      <c r="B718" s="74"/>
      <c r="C718" s="71"/>
      <c r="D718" s="71"/>
      <c r="E718" s="72"/>
      <c r="F718" s="70"/>
      <c r="G718" s="72" t="str">
        <f t="shared" ca="1" si="22"/>
        <v/>
      </c>
      <c r="H718" s="72"/>
      <c r="I718" s="71"/>
      <c r="L718" s="55" t="str">
        <f t="shared" ca="1" si="23"/>
        <v>NE</v>
      </c>
    </row>
    <row r="719" spans="1:12" ht="27" thickBot="1">
      <c r="A719" s="72"/>
      <c r="B719" s="74"/>
      <c r="C719" s="71"/>
      <c r="D719" s="71"/>
      <c r="E719" s="72"/>
      <c r="F719" s="70"/>
      <c r="G719" s="72" t="str">
        <f t="shared" ca="1" si="22"/>
        <v/>
      </c>
      <c r="H719" s="72"/>
      <c r="I719" s="71"/>
      <c r="L719" s="55" t="str">
        <f t="shared" ca="1" si="23"/>
        <v>NE</v>
      </c>
    </row>
    <row r="720" spans="1:12" ht="27" thickBot="1">
      <c r="A720" s="72"/>
      <c r="B720" s="74"/>
      <c r="C720" s="71"/>
      <c r="D720" s="71"/>
      <c r="E720" s="72"/>
      <c r="F720" s="70"/>
      <c r="G720" s="72" t="str">
        <f t="shared" ca="1" si="22"/>
        <v/>
      </c>
      <c r="H720" s="72"/>
      <c r="I720" s="71"/>
      <c r="L720" s="55" t="str">
        <f t="shared" ca="1" si="23"/>
        <v>NE</v>
      </c>
    </row>
    <row r="721" spans="1:12" ht="27" thickBot="1">
      <c r="A721" s="72"/>
      <c r="B721" s="74"/>
      <c r="C721" s="71"/>
      <c r="D721" s="71"/>
      <c r="E721" s="72"/>
      <c r="F721" s="70"/>
      <c r="G721" s="72" t="str">
        <f t="shared" ca="1" si="22"/>
        <v/>
      </c>
      <c r="H721" s="72"/>
      <c r="I721" s="71"/>
      <c r="L721" s="55" t="str">
        <f t="shared" ca="1" si="23"/>
        <v>NE</v>
      </c>
    </row>
    <row r="722" spans="1:12" ht="27" thickBot="1">
      <c r="A722" s="72"/>
      <c r="B722" s="74"/>
      <c r="C722" s="71"/>
      <c r="D722" s="71"/>
      <c r="E722" s="72"/>
      <c r="F722" s="70"/>
      <c r="G722" s="72" t="str">
        <f t="shared" ca="1" si="22"/>
        <v/>
      </c>
      <c r="H722" s="72"/>
      <c r="I722" s="71"/>
      <c r="L722" s="55" t="str">
        <f t="shared" ca="1" si="23"/>
        <v>NE</v>
      </c>
    </row>
    <row r="723" spans="1:12" ht="27" thickBot="1">
      <c r="A723" s="72"/>
      <c r="B723" s="74"/>
      <c r="C723" s="71"/>
      <c r="D723" s="71"/>
      <c r="E723" s="72"/>
      <c r="F723" s="70"/>
      <c r="G723" s="72" t="str">
        <f t="shared" ca="1" si="22"/>
        <v/>
      </c>
      <c r="H723" s="72"/>
      <c r="I723" s="71"/>
      <c r="L723" s="55" t="str">
        <f t="shared" ca="1" si="23"/>
        <v>NE</v>
      </c>
    </row>
    <row r="724" spans="1:12" ht="27" thickBot="1">
      <c r="A724" s="72"/>
      <c r="B724" s="74"/>
      <c r="C724" s="71"/>
      <c r="D724" s="71"/>
      <c r="E724" s="72"/>
      <c r="F724" s="70"/>
      <c r="G724" s="72" t="str">
        <f t="shared" ca="1" si="22"/>
        <v/>
      </c>
      <c r="H724" s="72"/>
      <c r="I724" s="71"/>
      <c r="L724" s="55" t="str">
        <f t="shared" ca="1" si="23"/>
        <v>NE</v>
      </c>
    </row>
    <row r="725" spans="1:12" ht="27" thickBot="1">
      <c r="A725" s="72"/>
      <c r="B725" s="74"/>
      <c r="C725" s="71"/>
      <c r="D725" s="71"/>
      <c r="E725" s="72"/>
      <c r="F725" s="70"/>
      <c r="G725" s="72" t="str">
        <f t="shared" ca="1" si="22"/>
        <v/>
      </c>
      <c r="H725" s="72"/>
      <c r="I725" s="71"/>
      <c r="L725" s="55" t="str">
        <f t="shared" ca="1" si="23"/>
        <v>NE</v>
      </c>
    </row>
    <row r="726" spans="1:12" ht="27" thickBot="1">
      <c r="A726" s="72"/>
      <c r="B726" s="74"/>
      <c r="C726" s="71"/>
      <c r="D726" s="71"/>
      <c r="E726" s="72"/>
      <c r="F726" s="70"/>
      <c r="G726" s="72" t="str">
        <f t="shared" ca="1" si="22"/>
        <v/>
      </c>
      <c r="H726" s="72"/>
      <c r="I726" s="71"/>
      <c r="L726" s="55" t="str">
        <f t="shared" ca="1" si="23"/>
        <v>NE</v>
      </c>
    </row>
    <row r="727" spans="1:12" ht="27" thickBot="1">
      <c r="A727" s="72"/>
      <c r="B727" s="74"/>
      <c r="C727" s="71"/>
      <c r="D727" s="71"/>
      <c r="E727" s="72"/>
      <c r="F727" s="70"/>
      <c r="G727" s="72" t="str">
        <f t="shared" ca="1" si="22"/>
        <v/>
      </c>
      <c r="H727" s="72"/>
      <c r="I727" s="71"/>
      <c r="L727" s="55" t="str">
        <f t="shared" ca="1" si="23"/>
        <v>NE</v>
      </c>
    </row>
    <row r="728" spans="1:12" ht="27" thickBot="1">
      <c r="A728" s="72"/>
      <c r="B728" s="74"/>
      <c r="C728" s="71"/>
      <c r="D728" s="71"/>
      <c r="E728" s="72"/>
      <c r="F728" s="70"/>
      <c r="G728" s="72" t="str">
        <f t="shared" ca="1" si="22"/>
        <v/>
      </c>
      <c r="H728" s="72"/>
      <c r="I728" s="71"/>
      <c r="L728" s="55" t="str">
        <f t="shared" ca="1" si="23"/>
        <v>NE</v>
      </c>
    </row>
    <row r="729" spans="1:12" ht="27" thickBot="1">
      <c r="A729" s="72"/>
      <c r="B729" s="74"/>
      <c r="C729" s="71"/>
      <c r="D729" s="71"/>
      <c r="E729" s="72"/>
      <c r="F729" s="70"/>
      <c r="G729" s="72" t="str">
        <f t="shared" ca="1" si="22"/>
        <v/>
      </c>
      <c r="H729" s="72"/>
      <c r="I729" s="71"/>
      <c r="L729" s="55" t="str">
        <f t="shared" ca="1" si="23"/>
        <v>NE</v>
      </c>
    </row>
    <row r="730" spans="1:12" ht="27" thickBot="1">
      <c r="A730" s="72"/>
      <c r="B730" s="74"/>
      <c r="C730" s="71"/>
      <c r="D730" s="71"/>
      <c r="E730" s="72"/>
      <c r="F730" s="70"/>
      <c r="G730" s="72" t="str">
        <f t="shared" ca="1" si="22"/>
        <v/>
      </c>
      <c r="H730" s="72"/>
      <c r="I730" s="71"/>
      <c r="L730" s="55" t="str">
        <f t="shared" ca="1" si="23"/>
        <v>NE</v>
      </c>
    </row>
    <row r="731" spans="1:12" ht="27" thickBot="1">
      <c r="A731" s="72"/>
      <c r="B731" s="74"/>
      <c r="C731" s="71"/>
      <c r="D731" s="71"/>
      <c r="E731" s="72"/>
      <c r="F731" s="70"/>
      <c r="G731" s="72" t="str">
        <f t="shared" ca="1" si="22"/>
        <v/>
      </c>
      <c r="H731" s="72"/>
      <c r="I731" s="71"/>
      <c r="L731" s="55" t="str">
        <f t="shared" ca="1" si="23"/>
        <v>NE</v>
      </c>
    </row>
    <row r="732" spans="1:12" ht="27" thickBot="1">
      <c r="A732" s="72"/>
      <c r="B732" s="74"/>
      <c r="C732" s="71"/>
      <c r="D732" s="71"/>
      <c r="E732" s="72"/>
      <c r="F732" s="70"/>
      <c r="G732" s="72" t="str">
        <f t="shared" ca="1" si="22"/>
        <v/>
      </c>
      <c r="H732" s="72"/>
      <c r="I732" s="71"/>
      <c r="L732" s="55" t="str">
        <f t="shared" ca="1" si="23"/>
        <v>NE</v>
      </c>
    </row>
    <row r="733" spans="1:12" ht="27" thickBot="1">
      <c r="A733" s="72"/>
      <c r="B733" s="74"/>
      <c r="C733" s="71"/>
      <c r="D733" s="71"/>
      <c r="E733" s="72"/>
      <c r="F733" s="70"/>
      <c r="G733" s="72" t="str">
        <f t="shared" ca="1" si="22"/>
        <v/>
      </c>
      <c r="H733" s="72"/>
      <c r="I733" s="71"/>
      <c r="L733" s="55" t="str">
        <f t="shared" ca="1" si="23"/>
        <v>NE</v>
      </c>
    </row>
    <row r="734" spans="1:12" ht="27" thickBot="1">
      <c r="A734" s="72"/>
      <c r="B734" s="74"/>
      <c r="C734" s="71"/>
      <c r="D734" s="71"/>
      <c r="E734" s="72"/>
      <c r="F734" s="70"/>
      <c r="G734" s="72" t="str">
        <f t="shared" ca="1" si="22"/>
        <v/>
      </c>
      <c r="H734" s="72"/>
      <c r="I734" s="71"/>
      <c r="L734" s="55" t="str">
        <f t="shared" ca="1" si="23"/>
        <v>NE</v>
      </c>
    </row>
    <row r="735" spans="1:12" ht="27" thickBot="1">
      <c r="A735" s="72"/>
      <c r="B735" s="74"/>
      <c r="C735" s="71"/>
      <c r="D735" s="71"/>
      <c r="E735" s="72"/>
      <c r="F735" s="70"/>
      <c r="G735" s="72" t="str">
        <f t="shared" ca="1" si="22"/>
        <v/>
      </c>
      <c r="H735" s="72"/>
      <c r="I735" s="71"/>
      <c r="L735" s="55" t="str">
        <f t="shared" ca="1" si="23"/>
        <v>NE</v>
      </c>
    </row>
    <row r="736" spans="1:12" ht="27" thickBot="1">
      <c r="A736" s="72"/>
      <c r="B736" s="74"/>
      <c r="C736" s="71"/>
      <c r="D736" s="71"/>
      <c r="E736" s="72"/>
      <c r="F736" s="70"/>
      <c r="G736" s="72" t="str">
        <f t="shared" ca="1" si="22"/>
        <v/>
      </c>
      <c r="H736" s="72"/>
      <c r="I736" s="71"/>
      <c r="L736" s="55" t="str">
        <f t="shared" ca="1" si="23"/>
        <v>NE</v>
      </c>
    </row>
    <row r="737" spans="1:12" ht="27" thickBot="1">
      <c r="A737" s="72"/>
      <c r="B737" s="74"/>
      <c r="C737" s="71"/>
      <c r="D737" s="71"/>
      <c r="E737" s="72"/>
      <c r="F737" s="70"/>
      <c r="G737" s="72" t="str">
        <f t="shared" ca="1" si="22"/>
        <v/>
      </c>
      <c r="H737" s="72"/>
      <c r="I737" s="71"/>
      <c r="L737" s="55" t="str">
        <f t="shared" ca="1" si="23"/>
        <v>NE</v>
      </c>
    </row>
    <row r="738" spans="1:12" ht="27" thickBot="1">
      <c r="A738" s="72"/>
      <c r="B738" s="74"/>
      <c r="C738" s="71"/>
      <c r="D738" s="71"/>
      <c r="E738" s="72"/>
      <c r="F738" s="70"/>
      <c r="G738" s="72" t="str">
        <f t="shared" ca="1" si="22"/>
        <v/>
      </c>
      <c r="H738" s="72"/>
      <c r="I738" s="71"/>
      <c r="L738" s="55" t="str">
        <f t="shared" ca="1" si="23"/>
        <v>NE</v>
      </c>
    </row>
    <row r="739" spans="1:12" ht="27" thickBot="1">
      <c r="A739" s="72"/>
      <c r="B739" s="74"/>
      <c r="C739" s="71"/>
      <c r="D739" s="71"/>
      <c r="E739" s="72"/>
      <c r="F739" s="70"/>
      <c r="G739" s="72" t="str">
        <f t="shared" ca="1" si="22"/>
        <v/>
      </c>
      <c r="H739" s="72"/>
      <c r="I739" s="71"/>
      <c r="L739" s="55" t="str">
        <f t="shared" ca="1" si="23"/>
        <v>NE</v>
      </c>
    </row>
    <row r="740" spans="1:12" ht="27" thickBot="1">
      <c r="A740" s="72"/>
      <c r="B740" s="74"/>
      <c r="C740" s="71"/>
      <c r="D740" s="71"/>
      <c r="E740" s="72"/>
      <c r="F740" s="70"/>
      <c r="G740" s="72" t="str">
        <f t="shared" ca="1" si="22"/>
        <v/>
      </c>
      <c r="H740" s="72"/>
      <c r="I740" s="71"/>
      <c r="L740" s="55" t="str">
        <f t="shared" ca="1" si="23"/>
        <v>NE</v>
      </c>
    </row>
    <row r="741" spans="1:12" ht="27" thickBot="1">
      <c r="A741" s="72"/>
      <c r="B741" s="74"/>
      <c r="C741" s="71"/>
      <c r="D741" s="71"/>
      <c r="E741" s="72"/>
      <c r="F741" s="70"/>
      <c r="G741" s="72" t="str">
        <f t="shared" ca="1" si="22"/>
        <v/>
      </c>
      <c r="H741" s="72"/>
      <c r="I741" s="71"/>
      <c r="L741" s="55" t="str">
        <f t="shared" ca="1" si="23"/>
        <v>NE</v>
      </c>
    </row>
    <row r="742" spans="1:12" ht="27" thickBot="1">
      <c r="A742" s="72"/>
      <c r="B742" s="74"/>
      <c r="C742" s="71"/>
      <c r="D742" s="71"/>
      <c r="E742" s="72"/>
      <c r="F742" s="70"/>
      <c r="G742" s="72" t="str">
        <f t="shared" ca="1" si="22"/>
        <v/>
      </c>
      <c r="H742" s="72"/>
      <c r="I742" s="71"/>
      <c r="L742" s="55" t="str">
        <f t="shared" ca="1" si="23"/>
        <v>NE</v>
      </c>
    </row>
    <row r="743" spans="1:12" ht="27" thickBot="1">
      <c r="A743" s="72"/>
      <c r="B743" s="74"/>
      <c r="C743" s="71"/>
      <c r="D743" s="71"/>
      <c r="E743" s="72"/>
      <c r="F743" s="70"/>
      <c r="G743" s="72" t="str">
        <f t="shared" ca="1" si="22"/>
        <v/>
      </c>
      <c r="H743" s="72"/>
      <c r="I743" s="71"/>
      <c r="L743" s="55" t="str">
        <f t="shared" ca="1" si="23"/>
        <v>NE</v>
      </c>
    </row>
    <row r="744" spans="1:12" ht="27" thickBot="1">
      <c r="A744" s="72"/>
      <c r="B744" s="74"/>
      <c r="C744" s="71"/>
      <c r="D744" s="71"/>
      <c r="E744" s="72"/>
      <c r="F744" s="70"/>
      <c r="G744" s="72" t="str">
        <f t="shared" ca="1" si="22"/>
        <v/>
      </c>
      <c r="H744" s="72"/>
      <c r="I744" s="71"/>
      <c r="L744" s="55" t="str">
        <f t="shared" ca="1" si="23"/>
        <v>NE</v>
      </c>
    </row>
    <row r="745" spans="1:12" ht="27" thickBot="1">
      <c r="A745" s="72"/>
      <c r="B745" s="74"/>
      <c r="C745" s="71"/>
      <c r="D745" s="71"/>
      <c r="E745" s="72"/>
      <c r="F745" s="70"/>
      <c r="G745" s="72" t="str">
        <f t="shared" ca="1" si="22"/>
        <v/>
      </c>
      <c r="H745" s="72"/>
      <c r="I745" s="71"/>
      <c r="L745" s="55" t="str">
        <f t="shared" ca="1" si="23"/>
        <v>NE</v>
      </c>
    </row>
    <row r="746" spans="1:12" ht="27" thickBot="1">
      <c r="A746" s="72"/>
      <c r="B746" s="74"/>
      <c r="C746" s="71"/>
      <c r="D746" s="71"/>
      <c r="E746" s="72"/>
      <c r="F746" s="70"/>
      <c r="G746" s="72" t="str">
        <f t="shared" ca="1" si="22"/>
        <v/>
      </c>
      <c r="H746" s="72"/>
      <c r="I746" s="71"/>
      <c r="L746" s="55" t="str">
        <f t="shared" ca="1" si="23"/>
        <v>NE</v>
      </c>
    </row>
    <row r="747" spans="1:12" ht="27" thickBot="1">
      <c r="A747" s="72"/>
      <c r="B747" s="74"/>
      <c r="C747" s="71"/>
      <c r="D747" s="71"/>
      <c r="E747" s="72"/>
      <c r="F747" s="70"/>
      <c r="G747" s="72" t="str">
        <f t="shared" ca="1" si="22"/>
        <v/>
      </c>
      <c r="H747" s="72"/>
      <c r="I747" s="71"/>
      <c r="L747" s="55" t="str">
        <f t="shared" ca="1" si="23"/>
        <v>NE</v>
      </c>
    </row>
    <row r="748" spans="1:12" ht="27" thickBot="1">
      <c r="A748" s="72"/>
      <c r="B748" s="74"/>
      <c r="C748" s="71"/>
      <c r="D748" s="71"/>
      <c r="E748" s="72"/>
      <c r="F748" s="70"/>
      <c r="G748" s="72" t="str">
        <f t="shared" ca="1" si="22"/>
        <v/>
      </c>
      <c r="H748" s="72"/>
      <c r="I748" s="71"/>
      <c r="L748" s="55" t="str">
        <f t="shared" ca="1" si="23"/>
        <v>NE</v>
      </c>
    </row>
    <row r="749" spans="1:12" ht="27" thickBot="1">
      <c r="A749" s="72"/>
      <c r="B749" s="74"/>
      <c r="C749" s="71"/>
      <c r="D749" s="71"/>
      <c r="E749" s="72"/>
      <c r="F749" s="70"/>
      <c r="G749" s="72" t="str">
        <f t="shared" ca="1" si="22"/>
        <v/>
      </c>
      <c r="H749" s="72"/>
      <c r="I749" s="71"/>
      <c r="L749" s="55" t="str">
        <f t="shared" ca="1" si="23"/>
        <v>NE</v>
      </c>
    </row>
    <row r="750" spans="1:12" ht="27" thickBot="1">
      <c r="A750" s="72"/>
      <c r="B750" s="74"/>
      <c r="C750" s="71"/>
      <c r="D750" s="71"/>
      <c r="E750" s="72"/>
      <c r="F750" s="70"/>
      <c r="G750" s="72" t="str">
        <f t="shared" ref="G750:G813" ca="1" si="24">IF(ISBLANK(F750),"",IF(F750&gt;=TODAY(), "Non Echue", "Echue"))</f>
        <v/>
      </c>
      <c r="H750" s="72"/>
      <c r="I750" s="71"/>
      <c r="L750" s="55" t="str">
        <f t="shared" ref="L750:L813" ca="1" si="25" xml:space="preserve"> IF(G750 = "Echue",IF(H750 = "Appliqué","EAP","NAP"),"NE")</f>
        <v>NE</v>
      </c>
    </row>
    <row r="751" spans="1:12" ht="27" thickBot="1">
      <c r="A751" s="72"/>
      <c r="B751" s="74"/>
      <c r="C751" s="71"/>
      <c r="D751" s="71"/>
      <c r="E751" s="72"/>
      <c r="F751" s="70"/>
      <c r="G751" s="72" t="str">
        <f t="shared" ca="1" si="24"/>
        <v/>
      </c>
      <c r="H751" s="72"/>
      <c r="I751" s="71"/>
      <c r="L751" s="55" t="str">
        <f t="shared" ca="1" si="25"/>
        <v>NE</v>
      </c>
    </row>
    <row r="752" spans="1:12" ht="27" thickBot="1">
      <c r="A752" s="72"/>
      <c r="B752" s="74"/>
      <c r="C752" s="71"/>
      <c r="D752" s="71"/>
      <c r="E752" s="72"/>
      <c r="F752" s="70"/>
      <c r="G752" s="72" t="str">
        <f t="shared" ca="1" si="24"/>
        <v/>
      </c>
      <c r="H752" s="72"/>
      <c r="I752" s="71"/>
      <c r="L752" s="55" t="str">
        <f t="shared" ca="1" si="25"/>
        <v>NE</v>
      </c>
    </row>
    <row r="753" spans="1:12" ht="27" thickBot="1">
      <c r="A753" s="72"/>
      <c r="B753" s="74"/>
      <c r="C753" s="71"/>
      <c r="D753" s="71"/>
      <c r="E753" s="72"/>
      <c r="F753" s="70"/>
      <c r="G753" s="72" t="str">
        <f t="shared" ca="1" si="24"/>
        <v/>
      </c>
      <c r="H753" s="72"/>
      <c r="I753" s="71"/>
      <c r="L753" s="55" t="str">
        <f t="shared" ca="1" si="25"/>
        <v>NE</v>
      </c>
    </row>
    <row r="754" spans="1:12" ht="27" thickBot="1">
      <c r="A754" s="72"/>
      <c r="B754" s="74"/>
      <c r="C754" s="71"/>
      <c r="D754" s="71"/>
      <c r="E754" s="72"/>
      <c r="F754" s="70"/>
      <c r="G754" s="72" t="str">
        <f t="shared" ca="1" si="24"/>
        <v/>
      </c>
      <c r="H754" s="72"/>
      <c r="I754" s="71"/>
      <c r="L754" s="55" t="str">
        <f t="shared" ca="1" si="25"/>
        <v>NE</v>
      </c>
    </row>
    <row r="755" spans="1:12" ht="27" thickBot="1">
      <c r="A755" s="72"/>
      <c r="B755" s="74"/>
      <c r="C755" s="71"/>
      <c r="D755" s="71"/>
      <c r="E755" s="72"/>
      <c r="F755" s="70"/>
      <c r="G755" s="72" t="str">
        <f t="shared" ca="1" si="24"/>
        <v/>
      </c>
      <c r="H755" s="72"/>
      <c r="I755" s="71"/>
      <c r="L755" s="55" t="str">
        <f t="shared" ca="1" si="25"/>
        <v>NE</v>
      </c>
    </row>
    <row r="756" spans="1:12" ht="27" thickBot="1">
      <c r="A756" s="72"/>
      <c r="B756" s="74"/>
      <c r="C756" s="71"/>
      <c r="D756" s="71"/>
      <c r="E756" s="72"/>
      <c r="F756" s="70"/>
      <c r="G756" s="72" t="str">
        <f t="shared" ca="1" si="24"/>
        <v/>
      </c>
      <c r="H756" s="72"/>
      <c r="I756" s="71"/>
      <c r="L756" s="55" t="str">
        <f t="shared" ca="1" si="25"/>
        <v>NE</v>
      </c>
    </row>
    <row r="757" spans="1:12" ht="27" thickBot="1">
      <c r="A757" s="72"/>
      <c r="B757" s="74"/>
      <c r="C757" s="71"/>
      <c r="D757" s="71"/>
      <c r="E757" s="72"/>
      <c r="F757" s="70"/>
      <c r="G757" s="72" t="str">
        <f t="shared" ca="1" si="24"/>
        <v/>
      </c>
      <c r="H757" s="72"/>
      <c r="I757" s="71"/>
      <c r="L757" s="55" t="str">
        <f t="shared" ca="1" si="25"/>
        <v>NE</v>
      </c>
    </row>
    <row r="758" spans="1:12" ht="27" thickBot="1">
      <c r="A758" s="72"/>
      <c r="B758" s="74"/>
      <c r="C758" s="71"/>
      <c r="D758" s="71"/>
      <c r="E758" s="72"/>
      <c r="F758" s="70"/>
      <c r="G758" s="72" t="str">
        <f t="shared" ca="1" si="24"/>
        <v/>
      </c>
      <c r="H758" s="72"/>
      <c r="I758" s="71"/>
      <c r="L758" s="55" t="str">
        <f t="shared" ca="1" si="25"/>
        <v>NE</v>
      </c>
    </row>
    <row r="759" spans="1:12" ht="27" thickBot="1">
      <c r="A759" s="72"/>
      <c r="B759" s="74"/>
      <c r="C759" s="71"/>
      <c r="D759" s="71"/>
      <c r="E759" s="72"/>
      <c r="F759" s="70"/>
      <c r="G759" s="72" t="str">
        <f t="shared" ca="1" si="24"/>
        <v/>
      </c>
      <c r="H759" s="72"/>
      <c r="I759" s="71"/>
      <c r="L759" s="55" t="str">
        <f t="shared" ca="1" si="25"/>
        <v>NE</v>
      </c>
    </row>
    <row r="760" spans="1:12" ht="27" thickBot="1">
      <c r="A760" s="72"/>
      <c r="B760" s="74"/>
      <c r="C760" s="71"/>
      <c r="D760" s="71"/>
      <c r="E760" s="72"/>
      <c r="F760" s="70"/>
      <c r="G760" s="72" t="str">
        <f t="shared" ca="1" si="24"/>
        <v/>
      </c>
      <c r="H760" s="72"/>
      <c r="I760" s="71"/>
      <c r="L760" s="55" t="str">
        <f t="shared" ca="1" si="25"/>
        <v>NE</v>
      </c>
    </row>
    <row r="761" spans="1:12" ht="27" thickBot="1">
      <c r="A761" s="72"/>
      <c r="B761" s="74"/>
      <c r="C761" s="71"/>
      <c r="D761" s="71"/>
      <c r="E761" s="72"/>
      <c r="F761" s="70"/>
      <c r="G761" s="72" t="str">
        <f t="shared" ca="1" si="24"/>
        <v/>
      </c>
      <c r="H761" s="72"/>
      <c r="I761" s="71"/>
      <c r="L761" s="55" t="str">
        <f t="shared" ca="1" si="25"/>
        <v>NE</v>
      </c>
    </row>
    <row r="762" spans="1:12" ht="27" thickBot="1">
      <c r="A762" s="72"/>
      <c r="B762" s="74"/>
      <c r="C762" s="71"/>
      <c r="D762" s="71"/>
      <c r="E762" s="72"/>
      <c r="F762" s="70"/>
      <c r="G762" s="72" t="str">
        <f t="shared" ca="1" si="24"/>
        <v/>
      </c>
      <c r="H762" s="72"/>
      <c r="I762" s="71"/>
      <c r="L762" s="55" t="str">
        <f t="shared" ca="1" si="25"/>
        <v>NE</v>
      </c>
    </row>
    <row r="763" spans="1:12" ht="27" thickBot="1">
      <c r="A763" s="72"/>
      <c r="B763" s="74"/>
      <c r="C763" s="71"/>
      <c r="D763" s="71"/>
      <c r="E763" s="72"/>
      <c r="F763" s="70"/>
      <c r="G763" s="72" t="str">
        <f t="shared" ca="1" si="24"/>
        <v/>
      </c>
      <c r="H763" s="72"/>
      <c r="I763" s="71"/>
      <c r="L763" s="55" t="str">
        <f t="shared" ca="1" si="25"/>
        <v>NE</v>
      </c>
    </row>
    <row r="764" spans="1:12" ht="27" thickBot="1">
      <c r="A764" s="72"/>
      <c r="B764" s="74"/>
      <c r="C764" s="71"/>
      <c r="D764" s="71"/>
      <c r="E764" s="72"/>
      <c r="F764" s="70"/>
      <c r="G764" s="72" t="str">
        <f t="shared" ca="1" si="24"/>
        <v/>
      </c>
      <c r="H764" s="72"/>
      <c r="I764" s="71"/>
      <c r="L764" s="55" t="str">
        <f t="shared" ca="1" si="25"/>
        <v>NE</v>
      </c>
    </row>
    <row r="765" spans="1:12" ht="27" thickBot="1">
      <c r="A765" s="72"/>
      <c r="B765" s="74"/>
      <c r="C765" s="71"/>
      <c r="D765" s="71"/>
      <c r="E765" s="72"/>
      <c r="F765" s="70"/>
      <c r="G765" s="72" t="str">
        <f t="shared" ca="1" si="24"/>
        <v/>
      </c>
      <c r="H765" s="72"/>
      <c r="I765" s="71"/>
      <c r="L765" s="55" t="str">
        <f t="shared" ca="1" si="25"/>
        <v>NE</v>
      </c>
    </row>
    <row r="766" spans="1:12" ht="27" thickBot="1">
      <c r="A766" s="72"/>
      <c r="B766" s="74"/>
      <c r="C766" s="71"/>
      <c r="D766" s="71"/>
      <c r="E766" s="72"/>
      <c r="F766" s="70"/>
      <c r="G766" s="72" t="str">
        <f t="shared" ca="1" si="24"/>
        <v/>
      </c>
      <c r="H766" s="72"/>
      <c r="I766" s="71"/>
      <c r="L766" s="55" t="str">
        <f t="shared" ca="1" si="25"/>
        <v>NE</v>
      </c>
    </row>
    <row r="767" spans="1:12" ht="27" thickBot="1">
      <c r="A767" s="72"/>
      <c r="B767" s="74"/>
      <c r="C767" s="71"/>
      <c r="D767" s="71"/>
      <c r="E767" s="72"/>
      <c r="F767" s="70"/>
      <c r="G767" s="72" t="str">
        <f t="shared" ca="1" si="24"/>
        <v/>
      </c>
      <c r="H767" s="72"/>
      <c r="I767" s="71"/>
      <c r="L767" s="55" t="str">
        <f t="shared" ca="1" si="25"/>
        <v>NE</v>
      </c>
    </row>
    <row r="768" spans="1:12" ht="27" thickBot="1">
      <c r="A768" s="72"/>
      <c r="B768" s="74"/>
      <c r="C768" s="71"/>
      <c r="D768" s="71"/>
      <c r="E768" s="72"/>
      <c r="F768" s="70"/>
      <c r="G768" s="72" t="str">
        <f t="shared" ca="1" si="24"/>
        <v/>
      </c>
      <c r="H768" s="72"/>
      <c r="I768" s="71"/>
      <c r="L768" s="55" t="str">
        <f t="shared" ca="1" si="25"/>
        <v>NE</v>
      </c>
    </row>
    <row r="769" spans="1:12" ht="27" thickBot="1">
      <c r="A769" s="72"/>
      <c r="B769" s="74"/>
      <c r="C769" s="71"/>
      <c r="D769" s="71"/>
      <c r="E769" s="72"/>
      <c r="F769" s="70"/>
      <c r="G769" s="72" t="str">
        <f t="shared" ca="1" si="24"/>
        <v/>
      </c>
      <c r="H769" s="72"/>
      <c r="I769" s="71"/>
      <c r="L769" s="55" t="str">
        <f t="shared" ca="1" si="25"/>
        <v>NE</v>
      </c>
    </row>
    <row r="770" spans="1:12" ht="27" thickBot="1">
      <c r="A770" s="72"/>
      <c r="B770" s="74"/>
      <c r="C770" s="71"/>
      <c r="D770" s="71"/>
      <c r="E770" s="72"/>
      <c r="F770" s="70"/>
      <c r="G770" s="72" t="str">
        <f t="shared" ca="1" si="24"/>
        <v/>
      </c>
      <c r="H770" s="72"/>
      <c r="I770" s="71"/>
      <c r="L770" s="55" t="str">
        <f t="shared" ca="1" si="25"/>
        <v>NE</v>
      </c>
    </row>
    <row r="771" spans="1:12" ht="27" thickBot="1">
      <c r="A771" s="72"/>
      <c r="B771" s="74"/>
      <c r="C771" s="71"/>
      <c r="D771" s="71"/>
      <c r="E771" s="72"/>
      <c r="F771" s="70"/>
      <c r="G771" s="72" t="str">
        <f t="shared" ca="1" si="24"/>
        <v/>
      </c>
      <c r="H771" s="72"/>
      <c r="I771" s="71"/>
      <c r="L771" s="55" t="str">
        <f t="shared" ca="1" si="25"/>
        <v>NE</v>
      </c>
    </row>
    <row r="772" spans="1:12" ht="27" thickBot="1">
      <c r="A772" s="72"/>
      <c r="B772" s="74"/>
      <c r="C772" s="71"/>
      <c r="D772" s="71"/>
      <c r="E772" s="72"/>
      <c r="F772" s="70"/>
      <c r="G772" s="72" t="str">
        <f t="shared" ca="1" si="24"/>
        <v/>
      </c>
      <c r="H772" s="72"/>
      <c r="I772" s="71"/>
      <c r="L772" s="55" t="str">
        <f t="shared" ca="1" si="25"/>
        <v>NE</v>
      </c>
    </row>
    <row r="773" spans="1:12" ht="27" thickBot="1">
      <c r="A773" s="72"/>
      <c r="B773" s="74"/>
      <c r="C773" s="71"/>
      <c r="D773" s="71"/>
      <c r="E773" s="72"/>
      <c r="F773" s="70"/>
      <c r="G773" s="72" t="str">
        <f t="shared" ca="1" si="24"/>
        <v/>
      </c>
      <c r="H773" s="72"/>
      <c r="I773" s="71"/>
      <c r="L773" s="55" t="str">
        <f t="shared" ca="1" si="25"/>
        <v>NE</v>
      </c>
    </row>
    <row r="774" spans="1:12" ht="27" thickBot="1">
      <c r="A774" s="72"/>
      <c r="B774" s="74"/>
      <c r="C774" s="71"/>
      <c r="D774" s="71"/>
      <c r="E774" s="72"/>
      <c r="F774" s="70"/>
      <c r="G774" s="72" t="str">
        <f t="shared" ca="1" si="24"/>
        <v/>
      </c>
      <c r="H774" s="72"/>
      <c r="I774" s="71"/>
      <c r="L774" s="55" t="str">
        <f t="shared" ca="1" si="25"/>
        <v>NE</v>
      </c>
    </row>
    <row r="775" spans="1:12" ht="27" thickBot="1">
      <c r="A775" s="72"/>
      <c r="B775" s="74"/>
      <c r="C775" s="71"/>
      <c r="D775" s="71"/>
      <c r="E775" s="72"/>
      <c r="F775" s="70"/>
      <c r="G775" s="72" t="str">
        <f t="shared" ca="1" si="24"/>
        <v/>
      </c>
      <c r="H775" s="72"/>
      <c r="I775" s="71"/>
      <c r="L775" s="55" t="str">
        <f t="shared" ca="1" si="25"/>
        <v>NE</v>
      </c>
    </row>
    <row r="776" spans="1:12" ht="27" thickBot="1">
      <c r="A776" s="72"/>
      <c r="B776" s="74"/>
      <c r="C776" s="71"/>
      <c r="D776" s="71"/>
      <c r="E776" s="72"/>
      <c r="F776" s="70"/>
      <c r="G776" s="72" t="str">
        <f t="shared" ca="1" si="24"/>
        <v/>
      </c>
      <c r="H776" s="72"/>
      <c r="I776" s="71"/>
      <c r="L776" s="55" t="str">
        <f t="shared" ca="1" si="25"/>
        <v>NE</v>
      </c>
    </row>
    <row r="777" spans="1:12" ht="27" thickBot="1">
      <c r="A777" s="72"/>
      <c r="B777" s="74"/>
      <c r="C777" s="71"/>
      <c r="D777" s="71"/>
      <c r="E777" s="72"/>
      <c r="F777" s="70"/>
      <c r="G777" s="72" t="str">
        <f t="shared" ca="1" si="24"/>
        <v/>
      </c>
      <c r="H777" s="72"/>
      <c r="I777" s="71"/>
      <c r="L777" s="55" t="str">
        <f t="shared" ca="1" si="25"/>
        <v>NE</v>
      </c>
    </row>
    <row r="778" spans="1:12" ht="27" thickBot="1">
      <c r="A778" s="72"/>
      <c r="B778" s="74"/>
      <c r="C778" s="71"/>
      <c r="D778" s="71"/>
      <c r="E778" s="72"/>
      <c r="F778" s="70"/>
      <c r="G778" s="72" t="str">
        <f t="shared" ca="1" si="24"/>
        <v/>
      </c>
      <c r="H778" s="72"/>
      <c r="I778" s="71"/>
      <c r="L778" s="55" t="str">
        <f t="shared" ca="1" si="25"/>
        <v>NE</v>
      </c>
    </row>
    <row r="779" spans="1:12" ht="27" thickBot="1">
      <c r="A779" s="72"/>
      <c r="B779" s="74"/>
      <c r="C779" s="71"/>
      <c r="D779" s="71"/>
      <c r="E779" s="72"/>
      <c r="F779" s="70"/>
      <c r="G779" s="72" t="str">
        <f t="shared" ca="1" si="24"/>
        <v/>
      </c>
      <c r="H779" s="72"/>
      <c r="I779" s="71"/>
      <c r="L779" s="55" t="str">
        <f t="shared" ca="1" si="25"/>
        <v>NE</v>
      </c>
    </row>
    <row r="780" spans="1:12" ht="27" thickBot="1">
      <c r="A780" s="72"/>
      <c r="B780" s="74"/>
      <c r="C780" s="71"/>
      <c r="D780" s="71"/>
      <c r="E780" s="72"/>
      <c r="F780" s="70"/>
      <c r="G780" s="72" t="str">
        <f t="shared" ca="1" si="24"/>
        <v/>
      </c>
      <c r="H780" s="72"/>
      <c r="I780" s="71"/>
      <c r="L780" s="55" t="str">
        <f t="shared" ca="1" si="25"/>
        <v>NE</v>
      </c>
    </row>
    <row r="781" spans="1:12" ht="27" thickBot="1">
      <c r="A781" s="72"/>
      <c r="B781" s="74"/>
      <c r="C781" s="71"/>
      <c r="D781" s="71"/>
      <c r="E781" s="72"/>
      <c r="F781" s="70"/>
      <c r="G781" s="72" t="str">
        <f t="shared" ca="1" si="24"/>
        <v/>
      </c>
      <c r="H781" s="72"/>
      <c r="I781" s="71"/>
      <c r="L781" s="55" t="str">
        <f t="shared" ca="1" si="25"/>
        <v>NE</v>
      </c>
    </row>
    <row r="782" spans="1:12" ht="27" thickBot="1">
      <c r="A782" s="72"/>
      <c r="B782" s="74"/>
      <c r="C782" s="71"/>
      <c r="D782" s="71"/>
      <c r="E782" s="72"/>
      <c r="F782" s="70"/>
      <c r="G782" s="72" t="str">
        <f t="shared" ca="1" si="24"/>
        <v/>
      </c>
      <c r="H782" s="72"/>
      <c r="I782" s="71"/>
      <c r="L782" s="55" t="str">
        <f t="shared" ca="1" si="25"/>
        <v>NE</v>
      </c>
    </row>
    <row r="783" spans="1:12" ht="27" thickBot="1">
      <c r="A783" s="72"/>
      <c r="B783" s="74"/>
      <c r="C783" s="71"/>
      <c r="D783" s="71"/>
      <c r="E783" s="72"/>
      <c r="F783" s="70"/>
      <c r="G783" s="72" t="str">
        <f t="shared" ca="1" si="24"/>
        <v/>
      </c>
      <c r="H783" s="72"/>
      <c r="I783" s="71"/>
      <c r="L783" s="55" t="str">
        <f t="shared" ca="1" si="25"/>
        <v>NE</v>
      </c>
    </row>
    <row r="784" spans="1:12" ht="27" thickBot="1">
      <c r="A784" s="72"/>
      <c r="B784" s="74"/>
      <c r="C784" s="71"/>
      <c r="D784" s="71"/>
      <c r="E784" s="72"/>
      <c r="F784" s="70"/>
      <c r="G784" s="72" t="str">
        <f t="shared" ca="1" si="24"/>
        <v/>
      </c>
      <c r="H784" s="72"/>
      <c r="I784" s="71"/>
      <c r="L784" s="55" t="str">
        <f t="shared" ca="1" si="25"/>
        <v>NE</v>
      </c>
    </row>
    <row r="785" spans="1:12" ht="27" thickBot="1">
      <c r="A785" s="72"/>
      <c r="B785" s="74"/>
      <c r="C785" s="71"/>
      <c r="D785" s="71"/>
      <c r="E785" s="72"/>
      <c r="F785" s="70"/>
      <c r="G785" s="72" t="str">
        <f t="shared" ca="1" si="24"/>
        <v/>
      </c>
      <c r="H785" s="72"/>
      <c r="I785" s="71"/>
      <c r="L785" s="55" t="str">
        <f t="shared" ca="1" si="25"/>
        <v>NE</v>
      </c>
    </row>
    <row r="786" spans="1:12" ht="27" thickBot="1">
      <c r="A786" s="72"/>
      <c r="B786" s="74"/>
      <c r="C786" s="71"/>
      <c r="D786" s="71"/>
      <c r="E786" s="72"/>
      <c r="F786" s="70"/>
      <c r="G786" s="72" t="str">
        <f t="shared" ca="1" si="24"/>
        <v/>
      </c>
      <c r="H786" s="72"/>
      <c r="I786" s="71"/>
      <c r="L786" s="55" t="str">
        <f t="shared" ca="1" si="25"/>
        <v>NE</v>
      </c>
    </row>
    <row r="787" spans="1:12" ht="27" thickBot="1">
      <c r="A787" s="72"/>
      <c r="B787" s="74"/>
      <c r="C787" s="71"/>
      <c r="D787" s="71"/>
      <c r="E787" s="72"/>
      <c r="F787" s="70"/>
      <c r="G787" s="72" t="str">
        <f t="shared" ca="1" si="24"/>
        <v/>
      </c>
      <c r="H787" s="72"/>
      <c r="I787" s="71"/>
      <c r="L787" s="55" t="str">
        <f t="shared" ca="1" si="25"/>
        <v>NE</v>
      </c>
    </row>
    <row r="788" spans="1:12" ht="27" thickBot="1">
      <c r="A788" s="72"/>
      <c r="B788" s="74"/>
      <c r="C788" s="71"/>
      <c r="D788" s="71"/>
      <c r="E788" s="72"/>
      <c r="F788" s="70"/>
      <c r="G788" s="72" t="str">
        <f t="shared" ca="1" si="24"/>
        <v/>
      </c>
      <c r="H788" s="72"/>
      <c r="I788" s="71"/>
      <c r="L788" s="55" t="str">
        <f t="shared" ca="1" si="25"/>
        <v>NE</v>
      </c>
    </row>
    <row r="789" spans="1:12" ht="27" thickBot="1">
      <c r="A789" s="72"/>
      <c r="B789" s="74"/>
      <c r="C789" s="71"/>
      <c r="D789" s="71"/>
      <c r="E789" s="72"/>
      <c r="F789" s="70"/>
      <c r="G789" s="72" t="str">
        <f t="shared" ca="1" si="24"/>
        <v/>
      </c>
      <c r="H789" s="72"/>
      <c r="I789" s="71"/>
      <c r="L789" s="55" t="str">
        <f t="shared" ca="1" si="25"/>
        <v>NE</v>
      </c>
    </row>
    <row r="790" spans="1:12" ht="27" thickBot="1">
      <c r="A790" s="72"/>
      <c r="B790" s="74"/>
      <c r="C790" s="71"/>
      <c r="D790" s="71"/>
      <c r="E790" s="72"/>
      <c r="F790" s="70"/>
      <c r="G790" s="72" t="str">
        <f t="shared" ca="1" si="24"/>
        <v/>
      </c>
      <c r="H790" s="72"/>
      <c r="I790" s="71"/>
      <c r="L790" s="55" t="str">
        <f t="shared" ca="1" si="25"/>
        <v>NE</v>
      </c>
    </row>
    <row r="791" spans="1:12" ht="27" thickBot="1">
      <c r="A791" s="72"/>
      <c r="B791" s="74"/>
      <c r="C791" s="71"/>
      <c r="D791" s="71"/>
      <c r="E791" s="72"/>
      <c r="F791" s="70"/>
      <c r="G791" s="72" t="str">
        <f t="shared" ca="1" si="24"/>
        <v/>
      </c>
      <c r="H791" s="72"/>
      <c r="I791" s="71"/>
      <c r="L791" s="55" t="str">
        <f t="shared" ca="1" si="25"/>
        <v>NE</v>
      </c>
    </row>
    <row r="792" spans="1:12" ht="27" thickBot="1">
      <c r="A792" s="72"/>
      <c r="B792" s="74"/>
      <c r="C792" s="71"/>
      <c r="D792" s="71"/>
      <c r="E792" s="72"/>
      <c r="F792" s="70"/>
      <c r="G792" s="72" t="str">
        <f t="shared" ca="1" si="24"/>
        <v/>
      </c>
      <c r="H792" s="72"/>
      <c r="I792" s="71"/>
      <c r="L792" s="55" t="str">
        <f t="shared" ca="1" si="25"/>
        <v>NE</v>
      </c>
    </row>
    <row r="793" spans="1:12" ht="27" thickBot="1">
      <c r="A793" s="72"/>
      <c r="B793" s="74"/>
      <c r="C793" s="71"/>
      <c r="D793" s="71"/>
      <c r="E793" s="72"/>
      <c r="F793" s="70"/>
      <c r="G793" s="72" t="str">
        <f t="shared" ca="1" si="24"/>
        <v/>
      </c>
      <c r="H793" s="72"/>
      <c r="I793" s="71"/>
      <c r="L793" s="55" t="str">
        <f t="shared" ca="1" si="25"/>
        <v>NE</v>
      </c>
    </row>
    <row r="794" spans="1:12" ht="27" thickBot="1">
      <c r="A794" s="72"/>
      <c r="B794" s="74"/>
      <c r="C794" s="71"/>
      <c r="D794" s="71"/>
      <c r="E794" s="72"/>
      <c r="F794" s="70"/>
      <c r="G794" s="72" t="str">
        <f t="shared" ca="1" si="24"/>
        <v/>
      </c>
      <c r="H794" s="72"/>
      <c r="I794" s="71"/>
      <c r="L794" s="55" t="str">
        <f t="shared" ca="1" si="25"/>
        <v>NE</v>
      </c>
    </row>
    <row r="795" spans="1:12" ht="27" thickBot="1">
      <c r="A795" s="72"/>
      <c r="B795" s="74"/>
      <c r="C795" s="71"/>
      <c r="D795" s="71"/>
      <c r="E795" s="72"/>
      <c r="F795" s="70"/>
      <c r="G795" s="72" t="str">
        <f t="shared" ca="1" si="24"/>
        <v/>
      </c>
      <c r="H795" s="72"/>
      <c r="I795" s="71"/>
      <c r="L795" s="55" t="str">
        <f t="shared" ca="1" si="25"/>
        <v>NE</v>
      </c>
    </row>
    <row r="796" spans="1:12" ht="27" thickBot="1">
      <c r="A796" s="72"/>
      <c r="B796" s="74"/>
      <c r="C796" s="71"/>
      <c r="D796" s="71"/>
      <c r="E796" s="72"/>
      <c r="F796" s="70"/>
      <c r="G796" s="72" t="str">
        <f t="shared" ca="1" si="24"/>
        <v/>
      </c>
      <c r="H796" s="72"/>
      <c r="I796" s="71"/>
      <c r="L796" s="55" t="str">
        <f t="shared" ca="1" si="25"/>
        <v>NE</v>
      </c>
    </row>
    <row r="797" spans="1:12" ht="27" thickBot="1">
      <c r="A797" s="72"/>
      <c r="B797" s="74"/>
      <c r="C797" s="71"/>
      <c r="D797" s="71"/>
      <c r="E797" s="72"/>
      <c r="F797" s="70"/>
      <c r="G797" s="72" t="str">
        <f t="shared" ca="1" si="24"/>
        <v/>
      </c>
      <c r="H797" s="72"/>
      <c r="I797" s="71"/>
      <c r="L797" s="55" t="str">
        <f t="shared" ca="1" si="25"/>
        <v>NE</v>
      </c>
    </row>
    <row r="798" spans="1:12" ht="27" thickBot="1">
      <c r="A798" s="72"/>
      <c r="B798" s="74"/>
      <c r="C798" s="71"/>
      <c r="D798" s="71"/>
      <c r="E798" s="72"/>
      <c r="F798" s="70"/>
      <c r="G798" s="72" t="str">
        <f t="shared" ca="1" si="24"/>
        <v/>
      </c>
      <c r="H798" s="72"/>
      <c r="I798" s="71"/>
      <c r="L798" s="55" t="str">
        <f t="shared" ca="1" si="25"/>
        <v>NE</v>
      </c>
    </row>
    <row r="799" spans="1:12" ht="27" thickBot="1">
      <c r="A799" s="72"/>
      <c r="B799" s="74"/>
      <c r="C799" s="71"/>
      <c r="D799" s="71"/>
      <c r="E799" s="72"/>
      <c r="F799" s="70"/>
      <c r="G799" s="72" t="str">
        <f t="shared" ca="1" si="24"/>
        <v/>
      </c>
      <c r="H799" s="72"/>
      <c r="I799" s="71"/>
      <c r="L799" s="55" t="str">
        <f t="shared" ca="1" si="25"/>
        <v>NE</v>
      </c>
    </row>
    <row r="800" spans="1:12" ht="27" thickBot="1">
      <c r="A800" s="72"/>
      <c r="B800" s="74"/>
      <c r="C800" s="71"/>
      <c r="D800" s="71"/>
      <c r="E800" s="72"/>
      <c r="F800" s="70"/>
      <c r="G800" s="72" t="str">
        <f t="shared" ca="1" si="24"/>
        <v/>
      </c>
      <c r="H800" s="72"/>
      <c r="I800" s="71"/>
      <c r="L800" s="55" t="str">
        <f t="shared" ca="1" si="25"/>
        <v>NE</v>
      </c>
    </row>
    <row r="801" spans="1:12" ht="27" thickBot="1">
      <c r="A801" s="72"/>
      <c r="B801" s="74"/>
      <c r="C801" s="71"/>
      <c r="D801" s="71"/>
      <c r="E801" s="72"/>
      <c r="F801" s="70"/>
      <c r="G801" s="72" t="str">
        <f t="shared" ca="1" si="24"/>
        <v/>
      </c>
      <c r="H801" s="72"/>
      <c r="I801" s="71"/>
      <c r="L801" s="55" t="str">
        <f t="shared" ca="1" si="25"/>
        <v>NE</v>
      </c>
    </row>
    <row r="802" spans="1:12" ht="27" thickBot="1">
      <c r="A802" s="72"/>
      <c r="B802" s="74"/>
      <c r="C802" s="71"/>
      <c r="D802" s="71"/>
      <c r="E802" s="72"/>
      <c r="F802" s="70"/>
      <c r="G802" s="72" t="str">
        <f t="shared" ca="1" si="24"/>
        <v/>
      </c>
      <c r="H802" s="72"/>
      <c r="I802" s="71"/>
      <c r="L802" s="55" t="str">
        <f t="shared" ca="1" si="25"/>
        <v>NE</v>
      </c>
    </row>
    <row r="803" spans="1:12" ht="27" thickBot="1">
      <c r="A803" s="72"/>
      <c r="B803" s="74"/>
      <c r="C803" s="71"/>
      <c r="D803" s="71"/>
      <c r="E803" s="72"/>
      <c r="F803" s="70"/>
      <c r="G803" s="72" t="str">
        <f t="shared" ca="1" si="24"/>
        <v/>
      </c>
      <c r="H803" s="72"/>
      <c r="I803" s="71"/>
      <c r="L803" s="55" t="str">
        <f t="shared" ca="1" si="25"/>
        <v>NE</v>
      </c>
    </row>
    <row r="804" spans="1:12" ht="27" thickBot="1">
      <c r="A804" s="72"/>
      <c r="B804" s="74"/>
      <c r="C804" s="71"/>
      <c r="D804" s="71"/>
      <c r="E804" s="72"/>
      <c r="F804" s="70"/>
      <c r="G804" s="72" t="str">
        <f t="shared" ca="1" si="24"/>
        <v/>
      </c>
      <c r="H804" s="72"/>
      <c r="I804" s="71"/>
      <c r="L804" s="55" t="str">
        <f t="shared" ca="1" si="25"/>
        <v>NE</v>
      </c>
    </row>
    <row r="805" spans="1:12" ht="27" thickBot="1">
      <c r="A805" s="72"/>
      <c r="B805" s="74"/>
      <c r="C805" s="71"/>
      <c r="D805" s="71"/>
      <c r="E805" s="72"/>
      <c r="F805" s="70"/>
      <c r="G805" s="72" t="str">
        <f t="shared" ca="1" si="24"/>
        <v/>
      </c>
      <c r="H805" s="72"/>
      <c r="I805" s="71"/>
      <c r="L805" s="55" t="str">
        <f t="shared" ca="1" si="25"/>
        <v>NE</v>
      </c>
    </row>
    <row r="806" spans="1:12" ht="27" thickBot="1">
      <c r="A806" s="72"/>
      <c r="B806" s="74"/>
      <c r="C806" s="71"/>
      <c r="D806" s="71"/>
      <c r="E806" s="72"/>
      <c r="F806" s="70"/>
      <c r="G806" s="72" t="str">
        <f t="shared" ca="1" si="24"/>
        <v/>
      </c>
      <c r="H806" s="72"/>
      <c r="I806" s="71"/>
      <c r="L806" s="55" t="str">
        <f t="shared" ca="1" si="25"/>
        <v>NE</v>
      </c>
    </row>
    <row r="807" spans="1:12" ht="27" thickBot="1">
      <c r="A807" s="72"/>
      <c r="B807" s="74"/>
      <c r="C807" s="71"/>
      <c r="D807" s="71"/>
      <c r="E807" s="72"/>
      <c r="F807" s="70"/>
      <c r="G807" s="72" t="str">
        <f t="shared" ca="1" si="24"/>
        <v/>
      </c>
      <c r="H807" s="72"/>
      <c r="I807" s="71"/>
      <c r="L807" s="55" t="str">
        <f t="shared" ca="1" si="25"/>
        <v>NE</v>
      </c>
    </row>
    <row r="808" spans="1:12" ht="27" thickBot="1">
      <c r="A808" s="72"/>
      <c r="B808" s="74"/>
      <c r="C808" s="71"/>
      <c r="D808" s="71"/>
      <c r="E808" s="72"/>
      <c r="F808" s="70"/>
      <c r="G808" s="72" t="str">
        <f t="shared" ca="1" si="24"/>
        <v/>
      </c>
      <c r="H808" s="72"/>
      <c r="I808" s="71"/>
      <c r="L808" s="55" t="str">
        <f t="shared" ca="1" si="25"/>
        <v>NE</v>
      </c>
    </row>
    <row r="809" spans="1:12" ht="27" thickBot="1">
      <c r="A809" s="72"/>
      <c r="B809" s="74"/>
      <c r="C809" s="71"/>
      <c r="D809" s="71"/>
      <c r="E809" s="72"/>
      <c r="F809" s="70"/>
      <c r="G809" s="72" t="str">
        <f t="shared" ca="1" si="24"/>
        <v/>
      </c>
      <c r="H809" s="72"/>
      <c r="I809" s="71"/>
      <c r="L809" s="55" t="str">
        <f t="shared" ca="1" si="25"/>
        <v>NE</v>
      </c>
    </row>
    <row r="810" spans="1:12" ht="27" thickBot="1">
      <c r="A810" s="72"/>
      <c r="B810" s="74"/>
      <c r="C810" s="71"/>
      <c r="D810" s="71"/>
      <c r="E810" s="72"/>
      <c r="F810" s="70"/>
      <c r="G810" s="72" t="str">
        <f t="shared" ca="1" si="24"/>
        <v/>
      </c>
      <c r="H810" s="72"/>
      <c r="I810" s="71"/>
      <c r="L810" s="55" t="str">
        <f t="shared" ca="1" si="25"/>
        <v>NE</v>
      </c>
    </row>
    <row r="811" spans="1:12" ht="27" thickBot="1">
      <c r="A811" s="72"/>
      <c r="B811" s="74"/>
      <c r="C811" s="71"/>
      <c r="D811" s="71"/>
      <c r="E811" s="72"/>
      <c r="F811" s="70"/>
      <c r="G811" s="72" t="str">
        <f t="shared" ca="1" si="24"/>
        <v/>
      </c>
      <c r="H811" s="72"/>
      <c r="I811" s="71"/>
      <c r="L811" s="55" t="str">
        <f t="shared" ca="1" si="25"/>
        <v>NE</v>
      </c>
    </row>
    <row r="812" spans="1:12" ht="27" thickBot="1">
      <c r="A812" s="72"/>
      <c r="B812" s="74"/>
      <c r="C812" s="71"/>
      <c r="D812" s="71"/>
      <c r="E812" s="72"/>
      <c r="F812" s="70"/>
      <c r="G812" s="72" t="str">
        <f t="shared" ca="1" si="24"/>
        <v/>
      </c>
      <c r="H812" s="72"/>
      <c r="I812" s="71"/>
      <c r="L812" s="55" t="str">
        <f t="shared" ca="1" si="25"/>
        <v>NE</v>
      </c>
    </row>
    <row r="813" spans="1:12" ht="27" thickBot="1">
      <c r="A813" s="72"/>
      <c r="B813" s="74"/>
      <c r="C813" s="71"/>
      <c r="D813" s="71"/>
      <c r="E813" s="72"/>
      <c r="F813" s="70"/>
      <c r="G813" s="72" t="str">
        <f t="shared" ca="1" si="24"/>
        <v/>
      </c>
      <c r="H813" s="72"/>
      <c r="I813" s="71"/>
      <c r="L813" s="55" t="str">
        <f t="shared" ca="1" si="25"/>
        <v>NE</v>
      </c>
    </row>
    <row r="814" spans="1:12" ht="27" thickBot="1">
      <c r="A814" s="72"/>
      <c r="B814" s="74"/>
      <c r="C814" s="71"/>
      <c r="D814" s="71"/>
      <c r="E814" s="72"/>
      <c r="F814" s="70"/>
      <c r="G814" s="72" t="str">
        <f t="shared" ref="G814:G877" ca="1" si="26">IF(ISBLANK(F814),"",IF(F814&gt;=TODAY(), "Non Echue", "Echue"))</f>
        <v/>
      </c>
      <c r="H814" s="72"/>
      <c r="I814" s="71"/>
      <c r="L814" s="55" t="str">
        <f t="shared" ref="L814:L877" ca="1" si="27" xml:space="preserve"> IF(G814 = "Echue",IF(H814 = "Appliqué","EAP","NAP"),"NE")</f>
        <v>NE</v>
      </c>
    </row>
    <row r="815" spans="1:12" ht="27" thickBot="1">
      <c r="A815" s="72"/>
      <c r="B815" s="74"/>
      <c r="C815" s="71"/>
      <c r="D815" s="71"/>
      <c r="E815" s="72"/>
      <c r="F815" s="70"/>
      <c r="G815" s="72" t="str">
        <f t="shared" ca="1" si="26"/>
        <v/>
      </c>
      <c r="H815" s="72"/>
      <c r="I815" s="71"/>
      <c r="L815" s="55" t="str">
        <f t="shared" ca="1" si="27"/>
        <v>NE</v>
      </c>
    </row>
    <row r="816" spans="1:12" ht="27" thickBot="1">
      <c r="A816" s="72"/>
      <c r="B816" s="74"/>
      <c r="C816" s="71"/>
      <c r="D816" s="71"/>
      <c r="E816" s="72"/>
      <c r="F816" s="70"/>
      <c r="G816" s="72" t="str">
        <f t="shared" ca="1" si="26"/>
        <v/>
      </c>
      <c r="H816" s="72"/>
      <c r="I816" s="71"/>
      <c r="L816" s="55" t="str">
        <f t="shared" ca="1" si="27"/>
        <v>NE</v>
      </c>
    </row>
    <row r="817" spans="1:12" ht="27" thickBot="1">
      <c r="A817" s="72"/>
      <c r="B817" s="74"/>
      <c r="C817" s="71"/>
      <c r="D817" s="71"/>
      <c r="E817" s="72"/>
      <c r="F817" s="70"/>
      <c r="G817" s="72" t="str">
        <f t="shared" ca="1" si="26"/>
        <v/>
      </c>
      <c r="H817" s="72"/>
      <c r="I817" s="71"/>
      <c r="L817" s="55" t="str">
        <f t="shared" ca="1" si="27"/>
        <v>NE</v>
      </c>
    </row>
    <row r="818" spans="1:12" ht="27" thickBot="1">
      <c r="A818" s="72"/>
      <c r="B818" s="74"/>
      <c r="C818" s="71"/>
      <c r="D818" s="71"/>
      <c r="E818" s="72"/>
      <c r="F818" s="70"/>
      <c r="G818" s="72" t="str">
        <f t="shared" ca="1" si="26"/>
        <v/>
      </c>
      <c r="H818" s="72"/>
      <c r="I818" s="71"/>
      <c r="L818" s="55" t="str">
        <f t="shared" ca="1" si="27"/>
        <v>NE</v>
      </c>
    </row>
    <row r="819" spans="1:12" ht="27" thickBot="1">
      <c r="A819" s="72"/>
      <c r="B819" s="74"/>
      <c r="C819" s="71"/>
      <c r="D819" s="71"/>
      <c r="E819" s="72"/>
      <c r="F819" s="70"/>
      <c r="G819" s="72" t="str">
        <f t="shared" ca="1" si="26"/>
        <v/>
      </c>
      <c r="H819" s="72"/>
      <c r="I819" s="71"/>
      <c r="L819" s="55" t="str">
        <f t="shared" ca="1" si="27"/>
        <v>NE</v>
      </c>
    </row>
    <row r="820" spans="1:12" ht="27" thickBot="1">
      <c r="A820" s="72"/>
      <c r="B820" s="74"/>
      <c r="C820" s="71"/>
      <c r="D820" s="71"/>
      <c r="E820" s="72"/>
      <c r="F820" s="70"/>
      <c r="G820" s="72" t="str">
        <f t="shared" ca="1" si="26"/>
        <v/>
      </c>
      <c r="H820" s="72"/>
      <c r="I820" s="71"/>
      <c r="L820" s="55" t="str">
        <f t="shared" ca="1" si="27"/>
        <v>NE</v>
      </c>
    </row>
    <row r="821" spans="1:12" ht="27" thickBot="1">
      <c r="A821" s="72"/>
      <c r="B821" s="74"/>
      <c r="C821" s="71"/>
      <c r="D821" s="71"/>
      <c r="E821" s="72"/>
      <c r="F821" s="70"/>
      <c r="G821" s="72" t="str">
        <f t="shared" ca="1" si="26"/>
        <v/>
      </c>
      <c r="H821" s="72"/>
      <c r="I821" s="71"/>
      <c r="L821" s="55" t="str">
        <f t="shared" ca="1" si="27"/>
        <v>NE</v>
      </c>
    </row>
    <row r="822" spans="1:12" ht="27" thickBot="1">
      <c r="A822" s="72"/>
      <c r="B822" s="74"/>
      <c r="C822" s="71"/>
      <c r="D822" s="71"/>
      <c r="E822" s="72"/>
      <c r="F822" s="70"/>
      <c r="G822" s="72" t="str">
        <f t="shared" ca="1" si="26"/>
        <v/>
      </c>
      <c r="H822" s="72"/>
      <c r="I822" s="71"/>
      <c r="L822" s="55" t="str">
        <f t="shared" ca="1" si="27"/>
        <v>NE</v>
      </c>
    </row>
    <row r="823" spans="1:12" ht="27" thickBot="1">
      <c r="A823" s="72"/>
      <c r="B823" s="74"/>
      <c r="C823" s="71"/>
      <c r="D823" s="71"/>
      <c r="E823" s="72"/>
      <c r="F823" s="70"/>
      <c r="G823" s="72" t="str">
        <f t="shared" ca="1" si="26"/>
        <v/>
      </c>
      <c r="H823" s="72"/>
      <c r="I823" s="71"/>
      <c r="L823" s="55" t="str">
        <f t="shared" ca="1" si="27"/>
        <v>NE</v>
      </c>
    </row>
    <row r="824" spans="1:12" ht="27" thickBot="1">
      <c r="A824" s="72"/>
      <c r="B824" s="74"/>
      <c r="C824" s="71"/>
      <c r="D824" s="71"/>
      <c r="E824" s="72"/>
      <c r="F824" s="70"/>
      <c r="G824" s="72" t="str">
        <f t="shared" ca="1" si="26"/>
        <v/>
      </c>
      <c r="H824" s="72"/>
      <c r="I824" s="71"/>
      <c r="L824" s="55" t="str">
        <f t="shared" ca="1" si="27"/>
        <v>NE</v>
      </c>
    </row>
    <row r="825" spans="1:12" ht="27" thickBot="1">
      <c r="A825" s="72"/>
      <c r="B825" s="74"/>
      <c r="C825" s="71"/>
      <c r="D825" s="71"/>
      <c r="E825" s="72"/>
      <c r="F825" s="70"/>
      <c r="G825" s="72" t="str">
        <f t="shared" ca="1" si="26"/>
        <v/>
      </c>
      <c r="H825" s="72"/>
      <c r="I825" s="71"/>
      <c r="L825" s="55" t="str">
        <f t="shared" ca="1" si="27"/>
        <v>NE</v>
      </c>
    </row>
    <row r="826" spans="1:12" ht="27" thickBot="1">
      <c r="A826" s="72"/>
      <c r="B826" s="74"/>
      <c r="C826" s="71"/>
      <c r="D826" s="71"/>
      <c r="E826" s="72"/>
      <c r="F826" s="70"/>
      <c r="G826" s="72" t="str">
        <f t="shared" ca="1" si="26"/>
        <v/>
      </c>
      <c r="H826" s="72"/>
      <c r="I826" s="71"/>
      <c r="L826" s="55" t="str">
        <f t="shared" ca="1" si="27"/>
        <v>NE</v>
      </c>
    </row>
    <row r="827" spans="1:12" ht="27" thickBot="1">
      <c r="A827" s="72"/>
      <c r="B827" s="74"/>
      <c r="C827" s="71"/>
      <c r="D827" s="71"/>
      <c r="E827" s="72"/>
      <c r="F827" s="70"/>
      <c r="G827" s="72" t="str">
        <f t="shared" ca="1" si="26"/>
        <v/>
      </c>
      <c r="H827" s="72"/>
      <c r="I827" s="71"/>
      <c r="L827" s="55" t="str">
        <f t="shared" ca="1" si="27"/>
        <v>NE</v>
      </c>
    </row>
    <row r="828" spans="1:12" ht="27" thickBot="1">
      <c r="A828" s="72"/>
      <c r="B828" s="74"/>
      <c r="C828" s="71"/>
      <c r="D828" s="71"/>
      <c r="E828" s="72"/>
      <c r="F828" s="70"/>
      <c r="G828" s="72" t="str">
        <f t="shared" ca="1" si="26"/>
        <v/>
      </c>
      <c r="H828" s="72"/>
      <c r="I828" s="71"/>
      <c r="L828" s="55" t="str">
        <f t="shared" ca="1" si="27"/>
        <v>NE</v>
      </c>
    </row>
    <row r="829" spans="1:12" ht="27" thickBot="1">
      <c r="A829" s="72"/>
      <c r="B829" s="74"/>
      <c r="C829" s="71"/>
      <c r="D829" s="71"/>
      <c r="E829" s="72"/>
      <c r="F829" s="70"/>
      <c r="G829" s="72" t="str">
        <f t="shared" ca="1" si="26"/>
        <v/>
      </c>
      <c r="H829" s="72"/>
      <c r="I829" s="71"/>
      <c r="L829" s="55" t="str">
        <f t="shared" ca="1" si="27"/>
        <v>NE</v>
      </c>
    </row>
    <row r="830" spans="1:12" ht="27" thickBot="1">
      <c r="A830" s="72"/>
      <c r="B830" s="74"/>
      <c r="C830" s="71"/>
      <c r="D830" s="71"/>
      <c r="E830" s="72"/>
      <c r="F830" s="70"/>
      <c r="G830" s="72" t="str">
        <f t="shared" ca="1" si="26"/>
        <v/>
      </c>
      <c r="H830" s="72"/>
      <c r="I830" s="71"/>
      <c r="L830" s="55" t="str">
        <f t="shared" ca="1" si="27"/>
        <v>NE</v>
      </c>
    </row>
    <row r="831" spans="1:12" ht="27" thickBot="1">
      <c r="A831" s="72"/>
      <c r="B831" s="74"/>
      <c r="C831" s="71"/>
      <c r="D831" s="71"/>
      <c r="E831" s="72"/>
      <c r="F831" s="70"/>
      <c r="G831" s="72" t="str">
        <f t="shared" ca="1" si="26"/>
        <v/>
      </c>
      <c r="H831" s="72"/>
      <c r="I831" s="71"/>
      <c r="L831" s="55" t="str">
        <f t="shared" ca="1" si="27"/>
        <v>NE</v>
      </c>
    </row>
    <row r="832" spans="1:12" ht="27" thickBot="1">
      <c r="A832" s="72"/>
      <c r="B832" s="74"/>
      <c r="C832" s="71"/>
      <c r="D832" s="71"/>
      <c r="E832" s="72"/>
      <c r="F832" s="70"/>
      <c r="G832" s="72" t="str">
        <f t="shared" ca="1" si="26"/>
        <v/>
      </c>
      <c r="H832" s="72"/>
      <c r="I832" s="71"/>
      <c r="L832" s="55" t="str">
        <f t="shared" ca="1" si="27"/>
        <v>NE</v>
      </c>
    </row>
    <row r="833" spans="1:12" ht="27" thickBot="1">
      <c r="A833" s="72"/>
      <c r="B833" s="74"/>
      <c r="C833" s="71"/>
      <c r="D833" s="71"/>
      <c r="E833" s="72"/>
      <c r="F833" s="70"/>
      <c r="G833" s="72" t="str">
        <f t="shared" ca="1" si="26"/>
        <v/>
      </c>
      <c r="H833" s="72"/>
      <c r="I833" s="71"/>
      <c r="L833" s="55" t="str">
        <f t="shared" ca="1" si="27"/>
        <v>NE</v>
      </c>
    </row>
    <row r="834" spans="1:12" ht="27" thickBot="1">
      <c r="A834" s="72"/>
      <c r="B834" s="74"/>
      <c r="C834" s="71"/>
      <c r="D834" s="71"/>
      <c r="E834" s="72"/>
      <c r="F834" s="70"/>
      <c r="G834" s="72" t="str">
        <f t="shared" ca="1" si="26"/>
        <v/>
      </c>
      <c r="H834" s="72"/>
      <c r="I834" s="71"/>
      <c r="L834" s="55" t="str">
        <f t="shared" ca="1" si="27"/>
        <v>NE</v>
      </c>
    </row>
    <row r="835" spans="1:12" ht="27" thickBot="1">
      <c r="A835" s="72"/>
      <c r="B835" s="74"/>
      <c r="C835" s="71"/>
      <c r="D835" s="71"/>
      <c r="E835" s="72"/>
      <c r="F835" s="70"/>
      <c r="G835" s="72" t="str">
        <f t="shared" ca="1" si="26"/>
        <v/>
      </c>
      <c r="H835" s="72"/>
      <c r="I835" s="71"/>
      <c r="L835" s="55" t="str">
        <f t="shared" ca="1" si="27"/>
        <v>NE</v>
      </c>
    </row>
    <row r="836" spans="1:12" ht="27" thickBot="1">
      <c r="A836" s="72"/>
      <c r="B836" s="74"/>
      <c r="C836" s="71"/>
      <c r="D836" s="71"/>
      <c r="E836" s="72"/>
      <c r="F836" s="70"/>
      <c r="G836" s="72" t="str">
        <f t="shared" ca="1" si="26"/>
        <v/>
      </c>
      <c r="H836" s="72"/>
      <c r="I836" s="71"/>
      <c r="L836" s="55" t="str">
        <f t="shared" ca="1" si="27"/>
        <v>NE</v>
      </c>
    </row>
    <row r="837" spans="1:12" ht="27" thickBot="1">
      <c r="A837" s="72"/>
      <c r="B837" s="74"/>
      <c r="C837" s="71"/>
      <c r="D837" s="71"/>
      <c r="E837" s="72"/>
      <c r="F837" s="70"/>
      <c r="G837" s="72" t="str">
        <f t="shared" ca="1" si="26"/>
        <v/>
      </c>
      <c r="H837" s="72"/>
      <c r="I837" s="71"/>
      <c r="L837" s="55" t="str">
        <f t="shared" ca="1" si="27"/>
        <v>NE</v>
      </c>
    </row>
    <row r="838" spans="1:12" ht="27" thickBot="1">
      <c r="A838" s="72"/>
      <c r="B838" s="74"/>
      <c r="C838" s="71"/>
      <c r="D838" s="71"/>
      <c r="E838" s="72"/>
      <c r="F838" s="70"/>
      <c r="G838" s="72" t="str">
        <f t="shared" ca="1" si="26"/>
        <v/>
      </c>
      <c r="H838" s="72"/>
      <c r="I838" s="71"/>
      <c r="L838" s="55" t="str">
        <f t="shared" ca="1" si="27"/>
        <v>NE</v>
      </c>
    </row>
    <row r="839" spans="1:12" ht="27" thickBot="1">
      <c r="A839" s="72"/>
      <c r="B839" s="74"/>
      <c r="C839" s="71"/>
      <c r="D839" s="71"/>
      <c r="E839" s="72"/>
      <c r="F839" s="70"/>
      <c r="G839" s="72" t="str">
        <f t="shared" ca="1" si="26"/>
        <v/>
      </c>
      <c r="H839" s="72"/>
      <c r="I839" s="71"/>
      <c r="L839" s="55" t="str">
        <f t="shared" ca="1" si="27"/>
        <v>NE</v>
      </c>
    </row>
    <row r="840" spans="1:12" ht="27" thickBot="1">
      <c r="A840" s="72"/>
      <c r="B840" s="74"/>
      <c r="C840" s="71"/>
      <c r="D840" s="71"/>
      <c r="E840" s="72"/>
      <c r="F840" s="70"/>
      <c r="G840" s="72" t="str">
        <f t="shared" ca="1" si="26"/>
        <v/>
      </c>
      <c r="H840" s="72"/>
      <c r="I840" s="71"/>
      <c r="L840" s="55" t="str">
        <f t="shared" ca="1" si="27"/>
        <v>NE</v>
      </c>
    </row>
    <row r="841" spans="1:12" ht="27" thickBot="1">
      <c r="A841" s="72"/>
      <c r="B841" s="74"/>
      <c r="C841" s="71"/>
      <c r="D841" s="71"/>
      <c r="E841" s="72"/>
      <c r="F841" s="70"/>
      <c r="G841" s="72" t="str">
        <f t="shared" ca="1" si="26"/>
        <v/>
      </c>
      <c r="H841" s="72"/>
      <c r="I841" s="71"/>
      <c r="L841" s="55" t="str">
        <f t="shared" ca="1" si="27"/>
        <v>NE</v>
      </c>
    </row>
    <row r="842" spans="1:12" ht="27" thickBot="1">
      <c r="A842" s="72"/>
      <c r="B842" s="74"/>
      <c r="C842" s="71"/>
      <c r="D842" s="71"/>
      <c r="E842" s="72"/>
      <c r="F842" s="70"/>
      <c r="G842" s="72" t="str">
        <f t="shared" ca="1" si="26"/>
        <v/>
      </c>
      <c r="H842" s="72"/>
      <c r="I842" s="71"/>
      <c r="L842" s="55" t="str">
        <f t="shared" ca="1" si="27"/>
        <v>NE</v>
      </c>
    </row>
    <row r="843" spans="1:12" ht="27" thickBot="1">
      <c r="A843" s="72"/>
      <c r="B843" s="74"/>
      <c r="C843" s="71"/>
      <c r="D843" s="71"/>
      <c r="E843" s="72"/>
      <c r="F843" s="70"/>
      <c r="G843" s="72" t="str">
        <f t="shared" ca="1" si="26"/>
        <v/>
      </c>
      <c r="H843" s="72"/>
      <c r="I843" s="71"/>
      <c r="L843" s="55" t="str">
        <f t="shared" ca="1" si="27"/>
        <v>NE</v>
      </c>
    </row>
    <row r="844" spans="1:12" ht="27" thickBot="1">
      <c r="A844" s="72"/>
      <c r="B844" s="74"/>
      <c r="C844" s="71"/>
      <c r="D844" s="71"/>
      <c r="E844" s="72"/>
      <c r="F844" s="70"/>
      <c r="G844" s="72" t="str">
        <f t="shared" ca="1" si="26"/>
        <v/>
      </c>
      <c r="H844" s="72"/>
      <c r="I844" s="71"/>
      <c r="L844" s="55" t="str">
        <f t="shared" ca="1" si="27"/>
        <v>NE</v>
      </c>
    </row>
    <row r="845" spans="1:12" ht="27" thickBot="1">
      <c r="A845" s="72"/>
      <c r="B845" s="74"/>
      <c r="C845" s="71"/>
      <c r="D845" s="71"/>
      <c r="E845" s="72"/>
      <c r="F845" s="70"/>
      <c r="G845" s="72" t="str">
        <f t="shared" ca="1" si="26"/>
        <v/>
      </c>
      <c r="H845" s="72"/>
      <c r="I845" s="71"/>
      <c r="L845" s="55" t="str">
        <f t="shared" ca="1" si="27"/>
        <v>NE</v>
      </c>
    </row>
    <row r="846" spans="1:12" ht="27" thickBot="1">
      <c r="A846" s="72"/>
      <c r="B846" s="74"/>
      <c r="C846" s="71"/>
      <c r="D846" s="71"/>
      <c r="E846" s="72"/>
      <c r="F846" s="70"/>
      <c r="G846" s="72" t="str">
        <f t="shared" ca="1" si="26"/>
        <v/>
      </c>
      <c r="H846" s="72"/>
      <c r="I846" s="71"/>
      <c r="L846" s="55" t="str">
        <f t="shared" ca="1" si="27"/>
        <v>NE</v>
      </c>
    </row>
    <row r="847" spans="1:12" ht="27" thickBot="1">
      <c r="A847" s="72"/>
      <c r="B847" s="74"/>
      <c r="C847" s="71"/>
      <c r="D847" s="71"/>
      <c r="E847" s="72"/>
      <c r="F847" s="70"/>
      <c r="G847" s="72" t="str">
        <f t="shared" ca="1" si="26"/>
        <v/>
      </c>
      <c r="H847" s="72"/>
      <c r="I847" s="71"/>
      <c r="L847" s="55" t="str">
        <f t="shared" ca="1" si="27"/>
        <v>NE</v>
      </c>
    </row>
    <row r="848" spans="1:12" ht="27" thickBot="1">
      <c r="A848" s="72"/>
      <c r="B848" s="74"/>
      <c r="C848" s="71"/>
      <c r="D848" s="71"/>
      <c r="E848" s="72"/>
      <c r="F848" s="70"/>
      <c r="G848" s="72" t="str">
        <f t="shared" ca="1" si="26"/>
        <v/>
      </c>
      <c r="H848" s="72"/>
      <c r="I848" s="71"/>
      <c r="L848" s="55" t="str">
        <f t="shared" ca="1" si="27"/>
        <v>NE</v>
      </c>
    </row>
    <row r="849" spans="1:12" ht="27" thickBot="1">
      <c r="A849" s="72"/>
      <c r="B849" s="74"/>
      <c r="C849" s="71"/>
      <c r="D849" s="71"/>
      <c r="E849" s="72"/>
      <c r="F849" s="70"/>
      <c r="G849" s="72" t="str">
        <f t="shared" ca="1" si="26"/>
        <v/>
      </c>
      <c r="H849" s="72"/>
      <c r="I849" s="71"/>
      <c r="L849" s="55" t="str">
        <f t="shared" ca="1" si="27"/>
        <v>NE</v>
      </c>
    </row>
    <row r="850" spans="1:12" ht="27" thickBot="1">
      <c r="A850" s="72"/>
      <c r="B850" s="74"/>
      <c r="C850" s="71"/>
      <c r="D850" s="71"/>
      <c r="E850" s="72"/>
      <c r="F850" s="70"/>
      <c r="G850" s="72" t="str">
        <f t="shared" ca="1" si="26"/>
        <v/>
      </c>
      <c r="H850" s="72"/>
      <c r="I850" s="71"/>
      <c r="L850" s="55" t="str">
        <f t="shared" ca="1" si="27"/>
        <v>NE</v>
      </c>
    </row>
    <row r="851" spans="1:12" ht="27" thickBot="1">
      <c r="A851" s="72"/>
      <c r="B851" s="74"/>
      <c r="C851" s="71"/>
      <c r="D851" s="71"/>
      <c r="E851" s="72"/>
      <c r="F851" s="70"/>
      <c r="G851" s="72" t="str">
        <f t="shared" ca="1" si="26"/>
        <v/>
      </c>
      <c r="H851" s="72"/>
      <c r="I851" s="71"/>
      <c r="L851" s="55" t="str">
        <f t="shared" ca="1" si="27"/>
        <v>NE</v>
      </c>
    </row>
    <row r="852" spans="1:12" ht="27" thickBot="1">
      <c r="A852" s="72"/>
      <c r="B852" s="74"/>
      <c r="C852" s="71"/>
      <c r="D852" s="71"/>
      <c r="E852" s="72"/>
      <c r="F852" s="70"/>
      <c r="G852" s="72" t="str">
        <f t="shared" ca="1" si="26"/>
        <v/>
      </c>
      <c r="H852" s="72"/>
      <c r="I852" s="71"/>
      <c r="L852" s="55" t="str">
        <f t="shared" ca="1" si="27"/>
        <v>NE</v>
      </c>
    </row>
    <row r="853" spans="1:12" ht="27" thickBot="1">
      <c r="A853" s="72"/>
      <c r="B853" s="74"/>
      <c r="C853" s="71"/>
      <c r="D853" s="71"/>
      <c r="E853" s="72"/>
      <c r="F853" s="70"/>
      <c r="G853" s="72" t="str">
        <f t="shared" ca="1" si="26"/>
        <v/>
      </c>
      <c r="H853" s="72"/>
      <c r="I853" s="71"/>
      <c r="L853" s="55" t="str">
        <f t="shared" ca="1" si="27"/>
        <v>NE</v>
      </c>
    </row>
    <row r="854" spans="1:12" ht="27" thickBot="1">
      <c r="A854" s="72"/>
      <c r="B854" s="74"/>
      <c r="C854" s="71"/>
      <c r="D854" s="71"/>
      <c r="E854" s="72"/>
      <c r="F854" s="70"/>
      <c r="G854" s="72" t="str">
        <f t="shared" ca="1" si="26"/>
        <v/>
      </c>
      <c r="H854" s="72"/>
      <c r="I854" s="71"/>
      <c r="L854" s="55" t="str">
        <f t="shared" ca="1" si="27"/>
        <v>NE</v>
      </c>
    </row>
    <row r="855" spans="1:12" ht="27" thickBot="1">
      <c r="A855" s="72"/>
      <c r="B855" s="74"/>
      <c r="C855" s="71"/>
      <c r="D855" s="71"/>
      <c r="E855" s="72"/>
      <c r="F855" s="70"/>
      <c r="G855" s="72" t="str">
        <f t="shared" ca="1" si="26"/>
        <v/>
      </c>
      <c r="H855" s="72"/>
      <c r="I855" s="71"/>
      <c r="L855" s="55" t="str">
        <f t="shared" ca="1" si="27"/>
        <v>NE</v>
      </c>
    </row>
    <row r="856" spans="1:12" ht="27" thickBot="1">
      <c r="A856" s="72"/>
      <c r="B856" s="74"/>
      <c r="C856" s="71"/>
      <c r="D856" s="71"/>
      <c r="E856" s="72"/>
      <c r="F856" s="70"/>
      <c r="G856" s="72" t="str">
        <f t="shared" ca="1" si="26"/>
        <v/>
      </c>
      <c r="H856" s="72"/>
      <c r="I856" s="71"/>
      <c r="L856" s="55" t="str">
        <f t="shared" ca="1" si="27"/>
        <v>NE</v>
      </c>
    </row>
    <row r="857" spans="1:12" ht="27" thickBot="1">
      <c r="A857" s="72"/>
      <c r="B857" s="74"/>
      <c r="C857" s="71"/>
      <c r="D857" s="71"/>
      <c r="E857" s="72"/>
      <c r="F857" s="70"/>
      <c r="G857" s="72" t="str">
        <f t="shared" ca="1" si="26"/>
        <v/>
      </c>
      <c r="H857" s="72"/>
      <c r="I857" s="71"/>
      <c r="L857" s="55" t="str">
        <f t="shared" ca="1" si="27"/>
        <v>NE</v>
      </c>
    </row>
    <row r="858" spans="1:12" ht="27" thickBot="1">
      <c r="A858" s="72"/>
      <c r="B858" s="74"/>
      <c r="C858" s="71"/>
      <c r="D858" s="71"/>
      <c r="E858" s="72"/>
      <c r="F858" s="70"/>
      <c r="G858" s="72" t="str">
        <f t="shared" ca="1" si="26"/>
        <v/>
      </c>
      <c r="H858" s="72"/>
      <c r="I858" s="71"/>
      <c r="L858" s="55" t="str">
        <f t="shared" ca="1" si="27"/>
        <v>NE</v>
      </c>
    </row>
    <row r="859" spans="1:12" ht="27" thickBot="1">
      <c r="A859" s="72"/>
      <c r="B859" s="74"/>
      <c r="C859" s="71"/>
      <c r="D859" s="71"/>
      <c r="E859" s="72"/>
      <c r="F859" s="70"/>
      <c r="G859" s="72" t="str">
        <f t="shared" ca="1" si="26"/>
        <v/>
      </c>
      <c r="H859" s="72"/>
      <c r="I859" s="71"/>
      <c r="L859" s="55" t="str">
        <f t="shared" ca="1" si="27"/>
        <v>NE</v>
      </c>
    </row>
    <row r="860" spans="1:12" ht="27" thickBot="1">
      <c r="A860" s="72"/>
      <c r="B860" s="74"/>
      <c r="C860" s="71"/>
      <c r="D860" s="71"/>
      <c r="E860" s="72"/>
      <c r="F860" s="70"/>
      <c r="G860" s="72" t="str">
        <f t="shared" ca="1" si="26"/>
        <v/>
      </c>
      <c r="H860" s="72"/>
      <c r="I860" s="71"/>
      <c r="L860" s="55" t="str">
        <f t="shared" ca="1" si="27"/>
        <v>NE</v>
      </c>
    </row>
    <row r="861" spans="1:12" ht="27" thickBot="1">
      <c r="A861" s="72"/>
      <c r="B861" s="74"/>
      <c r="C861" s="71"/>
      <c r="D861" s="71"/>
      <c r="E861" s="72"/>
      <c r="F861" s="70"/>
      <c r="G861" s="72" t="str">
        <f t="shared" ca="1" si="26"/>
        <v/>
      </c>
      <c r="H861" s="72"/>
      <c r="I861" s="71"/>
      <c r="L861" s="55" t="str">
        <f t="shared" ca="1" si="27"/>
        <v>NE</v>
      </c>
    </row>
    <row r="862" spans="1:12" ht="27" thickBot="1">
      <c r="A862" s="72"/>
      <c r="B862" s="74"/>
      <c r="C862" s="71"/>
      <c r="D862" s="71"/>
      <c r="E862" s="72"/>
      <c r="F862" s="70"/>
      <c r="G862" s="72" t="str">
        <f t="shared" ca="1" si="26"/>
        <v/>
      </c>
      <c r="H862" s="72"/>
      <c r="I862" s="71"/>
      <c r="L862" s="55" t="str">
        <f t="shared" ca="1" si="27"/>
        <v>NE</v>
      </c>
    </row>
    <row r="863" spans="1:12" ht="27" thickBot="1">
      <c r="A863" s="72"/>
      <c r="B863" s="74"/>
      <c r="C863" s="71"/>
      <c r="D863" s="71"/>
      <c r="E863" s="72"/>
      <c r="F863" s="70"/>
      <c r="G863" s="72" t="str">
        <f t="shared" ca="1" si="26"/>
        <v/>
      </c>
      <c r="H863" s="72"/>
      <c r="I863" s="71"/>
      <c r="L863" s="55" t="str">
        <f t="shared" ca="1" si="27"/>
        <v>NE</v>
      </c>
    </row>
    <row r="864" spans="1:12" ht="27" thickBot="1">
      <c r="A864" s="72"/>
      <c r="B864" s="74"/>
      <c r="C864" s="71"/>
      <c r="D864" s="71"/>
      <c r="E864" s="72"/>
      <c r="F864" s="70"/>
      <c r="G864" s="72" t="str">
        <f t="shared" ca="1" si="26"/>
        <v/>
      </c>
      <c r="H864" s="72"/>
      <c r="I864" s="71"/>
      <c r="L864" s="55" t="str">
        <f t="shared" ca="1" si="27"/>
        <v>NE</v>
      </c>
    </row>
    <row r="865" spans="1:12" ht="27" thickBot="1">
      <c r="A865" s="72"/>
      <c r="B865" s="74"/>
      <c r="C865" s="71"/>
      <c r="D865" s="71"/>
      <c r="E865" s="72"/>
      <c r="F865" s="70"/>
      <c r="G865" s="72" t="str">
        <f t="shared" ca="1" si="26"/>
        <v/>
      </c>
      <c r="H865" s="72"/>
      <c r="I865" s="71"/>
      <c r="L865" s="55" t="str">
        <f t="shared" ca="1" si="27"/>
        <v>NE</v>
      </c>
    </row>
    <row r="866" spans="1:12" ht="27" thickBot="1">
      <c r="A866" s="72"/>
      <c r="B866" s="74"/>
      <c r="C866" s="71"/>
      <c r="D866" s="71"/>
      <c r="E866" s="72"/>
      <c r="F866" s="70"/>
      <c r="G866" s="72" t="str">
        <f t="shared" ca="1" si="26"/>
        <v/>
      </c>
      <c r="H866" s="72"/>
      <c r="I866" s="71"/>
      <c r="L866" s="55" t="str">
        <f t="shared" ca="1" si="27"/>
        <v>NE</v>
      </c>
    </row>
    <row r="867" spans="1:12" ht="27" thickBot="1">
      <c r="A867" s="72"/>
      <c r="B867" s="74"/>
      <c r="C867" s="71"/>
      <c r="D867" s="71"/>
      <c r="E867" s="72"/>
      <c r="F867" s="70"/>
      <c r="G867" s="72" t="str">
        <f t="shared" ca="1" si="26"/>
        <v/>
      </c>
      <c r="H867" s="72"/>
      <c r="I867" s="71"/>
      <c r="L867" s="55" t="str">
        <f t="shared" ca="1" si="27"/>
        <v>NE</v>
      </c>
    </row>
    <row r="868" spans="1:12" ht="27" thickBot="1">
      <c r="A868" s="72"/>
      <c r="B868" s="74"/>
      <c r="C868" s="71"/>
      <c r="D868" s="71"/>
      <c r="E868" s="72"/>
      <c r="F868" s="70"/>
      <c r="G868" s="72" t="str">
        <f t="shared" ca="1" si="26"/>
        <v/>
      </c>
      <c r="H868" s="72"/>
      <c r="I868" s="71"/>
      <c r="L868" s="55" t="str">
        <f t="shared" ca="1" si="27"/>
        <v>NE</v>
      </c>
    </row>
    <row r="869" spans="1:12" ht="27" thickBot="1">
      <c r="A869" s="72"/>
      <c r="B869" s="74"/>
      <c r="C869" s="71"/>
      <c r="D869" s="71"/>
      <c r="E869" s="72"/>
      <c r="F869" s="70"/>
      <c r="G869" s="72" t="str">
        <f t="shared" ca="1" si="26"/>
        <v/>
      </c>
      <c r="H869" s="72"/>
      <c r="I869" s="71"/>
      <c r="L869" s="55" t="str">
        <f t="shared" ca="1" si="27"/>
        <v>NE</v>
      </c>
    </row>
    <row r="870" spans="1:12" ht="27" thickBot="1">
      <c r="A870" s="72"/>
      <c r="B870" s="74"/>
      <c r="C870" s="71"/>
      <c r="D870" s="71"/>
      <c r="E870" s="72"/>
      <c r="F870" s="70"/>
      <c r="G870" s="72" t="str">
        <f t="shared" ca="1" si="26"/>
        <v/>
      </c>
      <c r="H870" s="72"/>
      <c r="I870" s="71"/>
      <c r="L870" s="55" t="str">
        <f t="shared" ca="1" si="27"/>
        <v>NE</v>
      </c>
    </row>
    <row r="871" spans="1:12" ht="27" thickBot="1">
      <c r="A871" s="72"/>
      <c r="B871" s="74"/>
      <c r="C871" s="71"/>
      <c r="D871" s="71"/>
      <c r="E871" s="72"/>
      <c r="F871" s="70"/>
      <c r="G871" s="72" t="str">
        <f t="shared" ca="1" si="26"/>
        <v/>
      </c>
      <c r="H871" s="72"/>
      <c r="I871" s="71"/>
      <c r="L871" s="55" t="str">
        <f t="shared" ca="1" si="27"/>
        <v>NE</v>
      </c>
    </row>
    <row r="872" spans="1:12" ht="27" thickBot="1">
      <c r="A872" s="72"/>
      <c r="B872" s="74"/>
      <c r="C872" s="71"/>
      <c r="D872" s="71"/>
      <c r="E872" s="72"/>
      <c r="F872" s="70"/>
      <c r="G872" s="72" t="str">
        <f t="shared" ca="1" si="26"/>
        <v/>
      </c>
      <c r="H872" s="72"/>
      <c r="I872" s="71"/>
      <c r="L872" s="55" t="str">
        <f t="shared" ca="1" si="27"/>
        <v>NE</v>
      </c>
    </row>
    <row r="873" spans="1:12" ht="27" thickBot="1">
      <c r="A873" s="72"/>
      <c r="B873" s="74"/>
      <c r="C873" s="71"/>
      <c r="D873" s="71"/>
      <c r="E873" s="72"/>
      <c r="F873" s="70"/>
      <c r="G873" s="72" t="str">
        <f t="shared" ca="1" si="26"/>
        <v/>
      </c>
      <c r="H873" s="72"/>
      <c r="I873" s="71"/>
      <c r="L873" s="55" t="str">
        <f t="shared" ca="1" si="27"/>
        <v>NE</v>
      </c>
    </row>
    <row r="874" spans="1:12" ht="27" thickBot="1">
      <c r="A874" s="72"/>
      <c r="B874" s="74"/>
      <c r="C874" s="71"/>
      <c r="D874" s="71"/>
      <c r="E874" s="72"/>
      <c r="F874" s="70"/>
      <c r="G874" s="72" t="str">
        <f t="shared" ca="1" si="26"/>
        <v/>
      </c>
      <c r="H874" s="72"/>
      <c r="I874" s="71"/>
      <c r="L874" s="55" t="str">
        <f t="shared" ca="1" si="27"/>
        <v>NE</v>
      </c>
    </row>
    <row r="875" spans="1:12" ht="27" thickBot="1">
      <c r="A875" s="72"/>
      <c r="B875" s="74"/>
      <c r="C875" s="71"/>
      <c r="D875" s="71"/>
      <c r="E875" s="72"/>
      <c r="F875" s="70"/>
      <c r="G875" s="72" t="str">
        <f t="shared" ca="1" si="26"/>
        <v/>
      </c>
      <c r="H875" s="72"/>
      <c r="I875" s="71"/>
      <c r="L875" s="55" t="str">
        <f t="shared" ca="1" si="27"/>
        <v>NE</v>
      </c>
    </row>
    <row r="876" spans="1:12" ht="27" thickBot="1">
      <c r="A876" s="72"/>
      <c r="B876" s="74"/>
      <c r="C876" s="71"/>
      <c r="D876" s="71"/>
      <c r="E876" s="72"/>
      <c r="F876" s="70"/>
      <c r="G876" s="72" t="str">
        <f t="shared" ca="1" si="26"/>
        <v/>
      </c>
      <c r="H876" s="72"/>
      <c r="I876" s="71"/>
      <c r="L876" s="55" t="str">
        <f t="shared" ca="1" si="27"/>
        <v>NE</v>
      </c>
    </row>
    <row r="877" spans="1:12" ht="27" thickBot="1">
      <c r="A877" s="72"/>
      <c r="B877" s="74"/>
      <c r="C877" s="71"/>
      <c r="D877" s="71"/>
      <c r="E877" s="72"/>
      <c r="F877" s="70"/>
      <c r="G877" s="72" t="str">
        <f t="shared" ca="1" si="26"/>
        <v/>
      </c>
      <c r="H877" s="72"/>
      <c r="I877" s="71"/>
      <c r="L877" s="55" t="str">
        <f t="shared" ca="1" si="27"/>
        <v>NE</v>
      </c>
    </row>
    <row r="878" spans="1:12" ht="27" thickBot="1">
      <c r="A878" s="72"/>
      <c r="B878" s="74"/>
      <c r="C878" s="71"/>
      <c r="D878" s="71"/>
      <c r="E878" s="72"/>
      <c r="F878" s="70"/>
      <c r="G878" s="72" t="str">
        <f t="shared" ref="G878:G941" ca="1" si="28">IF(ISBLANK(F878),"",IF(F878&gt;=TODAY(), "Non Echue", "Echue"))</f>
        <v/>
      </c>
      <c r="H878" s="72"/>
      <c r="I878" s="71"/>
      <c r="L878" s="55" t="str">
        <f t="shared" ref="L878:L941" ca="1" si="29" xml:space="preserve"> IF(G878 = "Echue",IF(H878 = "Appliqué","EAP","NAP"),"NE")</f>
        <v>NE</v>
      </c>
    </row>
    <row r="879" spans="1:12" ht="27" thickBot="1">
      <c r="A879" s="72"/>
      <c r="B879" s="74"/>
      <c r="C879" s="71"/>
      <c r="D879" s="71"/>
      <c r="E879" s="72"/>
      <c r="F879" s="70"/>
      <c r="G879" s="72" t="str">
        <f t="shared" ca="1" si="28"/>
        <v/>
      </c>
      <c r="H879" s="72"/>
      <c r="I879" s="71"/>
      <c r="L879" s="55" t="str">
        <f t="shared" ca="1" si="29"/>
        <v>NE</v>
      </c>
    </row>
    <row r="880" spans="1:12" ht="27" thickBot="1">
      <c r="A880" s="72"/>
      <c r="B880" s="74"/>
      <c r="C880" s="71"/>
      <c r="D880" s="71"/>
      <c r="E880" s="72"/>
      <c r="F880" s="70"/>
      <c r="G880" s="72" t="str">
        <f t="shared" ca="1" si="28"/>
        <v/>
      </c>
      <c r="H880" s="72"/>
      <c r="I880" s="71"/>
      <c r="L880" s="55" t="str">
        <f t="shared" ca="1" si="29"/>
        <v>NE</v>
      </c>
    </row>
    <row r="881" spans="1:12" ht="27" thickBot="1">
      <c r="A881" s="72"/>
      <c r="B881" s="74"/>
      <c r="C881" s="71"/>
      <c r="D881" s="71"/>
      <c r="E881" s="72"/>
      <c r="F881" s="70"/>
      <c r="G881" s="72" t="str">
        <f t="shared" ca="1" si="28"/>
        <v/>
      </c>
      <c r="H881" s="72"/>
      <c r="I881" s="71"/>
      <c r="L881" s="55" t="str">
        <f t="shared" ca="1" si="29"/>
        <v>NE</v>
      </c>
    </row>
    <row r="882" spans="1:12" ht="27" thickBot="1">
      <c r="A882" s="72"/>
      <c r="B882" s="74"/>
      <c r="C882" s="71"/>
      <c r="D882" s="71"/>
      <c r="E882" s="72"/>
      <c r="F882" s="70"/>
      <c r="G882" s="72" t="str">
        <f t="shared" ca="1" si="28"/>
        <v/>
      </c>
      <c r="H882" s="72"/>
      <c r="I882" s="71"/>
      <c r="L882" s="55" t="str">
        <f t="shared" ca="1" si="29"/>
        <v>NE</v>
      </c>
    </row>
    <row r="883" spans="1:12" ht="27" thickBot="1">
      <c r="A883" s="72"/>
      <c r="B883" s="74"/>
      <c r="C883" s="71"/>
      <c r="D883" s="71"/>
      <c r="E883" s="72"/>
      <c r="F883" s="70"/>
      <c r="G883" s="72" t="str">
        <f t="shared" ca="1" si="28"/>
        <v/>
      </c>
      <c r="H883" s="72"/>
      <c r="I883" s="71"/>
      <c r="L883" s="55" t="str">
        <f t="shared" ca="1" si="29"/>
        <v>NE</v>
      </c>
    </row>
    <row r="884" spans="1:12" ht="27" thickBot="1">
      <c r="A884" s="72"/>
      <c r="B884" s="74"/>
      <c r="C884" s="71"/>
      <c r="D884" s="71"/>
      <c r="E884" s="72"/>
      <c r="F884" s="70"/>
      <c r="G884" s="72" t="str">
        <f t="shared" ca="1" si="28"/>
        <v/>
      </c>
      <c r="H884" s="72"/>
      <c r="I884" s="71"/>
      <c r="L884" s="55" t="str">
        <f t="shared" ca="1" si="29"/>
        <v>NE</v>
      </c>
    </row>
    <row r="885" spans="1:12" ht="27" thickBot="1">
      <c r="A885" s="72"/>
      <c r="B885" s="74"/>
      <c r="C885" s="71"/>
      <c r="D885" s="71"/>
      <c r="E885" s="72"/>
      <c r="F885" s="70"/>
      <c r="G885" s="72" t="str">
        <f t="shared" ca="1" si="28"/>
        <v/>
      </c>
      <c r="H885" s="72"/>
      <c r="I885" s="71"/>
      <c r="L885" s="55" t="str">
        <f t="shared" ca="1" si="29"/>
        <v>NE</v>
      </c>
    </row>
    <row r="886" spans="1:12" ht="27" thickBot="1">
      <c r="A886" s="72"/>
      <c r="B886" s="74"/>
      <c r="C886" s="71"/>
      <c r="D886" s="71"/>
      <c r="E886" s="72"/>
      <c r="F886" s="70"/>
      <c r="G886" s="72" t="str">
        <f t="shared" ca="1" si="28"/>
        <v/>
      </c>
      <c r="H886" s="72"/>
      <c r="I886" s="71"/>
      <c r="L886" s="55" t="str">
        <f t="shared" ca="1" si="29"/>
        <v>NE</v>
      </c>
    </row>
    <row r="887" spans="1:12" ht="27" thickBot="1">
      <c r="A887" s="72"/>
      <c r="B887" s="74"/>
      <c r="C887" s="71"/>
      <c r="D887" s="71"/>
      <c r="E887" s="72"/>
      <c r="F887" s="70"/>
      <c r="G887" s="72" t="str">
        <f t="shared" ca="1" si="28"/>
        <v/>
      </c>
      <c r="H887" s="72"/>
      <c r="I887" s="71"/>
      <c r="L887" s="55" t="str">
        <f t="shared" ca="1" si="29"/>
        <v>NE</v>
      </c>
    </row>
    <row r="888" spans="1:12" ht="27" thickBot="1">
      <c r="A888" s="72"/>
      <c r="B888" s="74"/>
      <c r="C888" s="71"/>
      <c r="D888" s="71"/>
      <c r="E888" s="72"/>
      <c r="F888" s="70"/>
      <c r="G888" s="72" t="str">
        <f t="shared" ca="1" si="28"/>
        <v/>
      </c>
      <c r="H888" s="72"/>
      <c r="I888" s="71"/>
      <c r="L888" s="55" t="str">
        <f t="shared" ca="1" si="29"/>
        <v>NE</v>
      </c>
    </row>
    <row r="889" spans="1:12" ht="27" thickBot="1">
      <c r="A889" s="72"/>
      <c r="B889" s="74"/>
      <c r="C889" s="71"/>
      <c r="D889" s="71"/>
      <c r="E889" s="72"/>
      <c r="F889" s="70"/>
      <c r="G889" s="72" t="str">
        <f t="shared" ca="1" si="28"/>
        <v/>
      </c>
      <c r="H889" s="72"/>
      <c r="I889" s="71"/>
      <c r="L889" s="55" t="str">
        <f t="shared" ca="1" si="29"/>
        <v>NE</v>
      </c>
    </row>
    <row r="890" spans="1:12" ht="27" thickBot="1">
      <c r="A890" s="72"/>
      <c r="B890" s="74"/>
      <c r="C890" s="71"/>
      <c r="D890" s="71"/>
      <c r="E890" s="72"/>
      <c r="F890" s="70"/>
      <c r="G890" s="72" t="str">
        <f t="shared" ca="1" si="28"/>
        <v/>
      </c>
      <c r="H890" s="72"/>
      <c r="I890" s="71"/>
      <c r="L890" s="55" t="str">
        <f t="shared" ca="1" si="29"/>
        <v>NE</v>
      </c>
    </row>
    <row r="891" spans="1:12" ht="27" thickBot="1">
      <c r="A891" s="72"/>
      <c r="B891" s="74"/>
      <c r="C891" s="71"/>
      <c r="D891" s="71"/>
      <c r="E891" s="72"/>
      <c r="F891" s="70"/>
      <c r="G891" s="72" t="str">
        <f t="shared" ca="1" si="28"/>
        <v/>
      </c>
      <c r="H891" s="72"/>
      <c r="I891" s="71"/>
      <c r="L891" s="55" t="str">
        <f t="shared" ca="1" si="29"/>
        <v>NE</v>
      </c>
    </row>
    <row r="892" spans="1:12" ht="27" thickBot="1">
      <c r="A892" s="72"/>
      <c r="B892" s="74"/>
      <c r="C892" s="71"/>
      <c r="D892" s="71"/>
      <c r="E892" s="72"/>
      <c r="F892" s="70"/>
      <c r="G892" s="72" t="str">
        <f t="shared" ca="1" si="28"/>
        <v/>
      </c>
      <c r="H892" s="72"/>
      <c r="I892" s="71"/>
      <c r="L892" s="55" t="str">
        <f t="shared" ca="1" si="29"/>
        <v>NE</v>
      </c>
    </row>
    <row r="893" spans="1:12" ht="27" thickBot="1">
      <c r="A893" s="72"/>
      <c r="B893" s="74"/>
      <c r="C893" s="71"/>
      <c r="D893" s="71"/>
      <c r="E893" s="72"/>
      <c r="F893" s="70"/>
      <c r="G893" s="72" t="str">
        <f t="shared" ca="1" si="28"/>
        <v/>
      </c>
      <c r="H893" s="72"/>
      <c r="I893" s="71"/>
      <c r="L893" s="55" t="str">
        <f t="shared" ca="1" si="29"/>
        <v>NE</v>
      </c>
    </row>
    <row r="894" spans="1:12" ht="27" thickBot="1">
      <c r="A894" s="72"/>
      <c r="B894" s="74"/>
      <c r="C894" s="71"/>
      <c r="D894" s="71"/>
      <c r="E894" s="72"/>
      <c r="F894" s="70"/>
      <c r="G894" s="72" t="str">
        <f t="shared" ca="1" si="28"/>
        <v/>
      </c>
      <c r="H894" s="72"/>
      <c r="I894" s="71"/>
      <c r="L894" s="55" t="str">
        <f t="shared" ca="1" si="29"/>
        <v>NE</v>
      </c>
    </row>
    <row r="895" spans="1:12" ht="27" thickBot="1">
      <c r="A895" s="72"/>
      <c r="B895" s="74"/>
      <c r="C895" s="71"/>
      <c r="D895" s="71"/>
      <c r="E895" s="72"/>
      <c r="F895" s="70"/>
      <c r="G895" s="72" t="str">
        <f t="shared" ca="1" si="28"/>
        <v/>
      </c>
      <c r="H895" s="72"/>
      <c r="I895" s="71"/>
      <c r="L895" s="55" t="str">
        <f t="shared" ca="1" si="29"/>
        <v>NE</v>
      </c>
    </row>
    <row r="896" spans="1:12" ht="27" thickBot="1">
      <c r="A896" s="72"/>
      <c r="B896" s="74"/>
      <c r="C896" s="71"/>
      <c r="D896" s="71"/>
      <c r="E896" s="72"/>
      <c r="F896" s="70"/>
      <c r="G896" s="72" t="str">
        <f t="shared" ca="1" si="28"/>
        <v/>
      </c>
      <c r="H896" s="72"/>
      <c r="I896" s="71"/>
      <c r="L896" s="55" t="str">
        <f t="shared" ca="1" si="29"/>
        <v>NE</v>
      </c>
    </row>
    <row r="897" spans="1:12" ht="27" thickBot="1">
      <c r="A897" s="72"/>
      <c r="B897" s="74"/>
      <c r="C897" s="71"/>
      <c r="D897" s="71"/>
      <c r="E897" s="72"/>
      <c r="F897" s="70"/>
      <c r="G897" s="72" t="str">
        <f t="shared" ca="1" si="28"/>
        <v/>
      </c>
      <c r="H897" s="72"/>
      <c r="I897" s="71"/>
      <c r="L897" s="55" t="str">
        <f t="shared" ca="1" si="29"/>
        <v>NE</v>
      </c>
    </row>
    <row r="898" spans="1:12" ht="27" thickBot="1">
      <c r="A898" s="72"/>
      <c r="B898" s="74"/>
      <c r="C898" s="71"/>
      <c r="D898" s="71"/>
      <c r="E898" s="72"/>
      <c r="F898" s="70"/>
      <c r="G898" s="72" t="str">
        <f t="shared" ca="1" si="28"/>
        <v/>
      </c>
      <c r="H898" s="72"/>
      <c r="I898" s="71"/>
      <c r="L898" s="55" t="str">
        <f t="shared" ca="1" si="29"/>
        <v>NE</v>
      </c>
    </row>
    <row r="899" spans="1:12" ht="27" thickBot="1">
      <c r="A899" s="72"/>
      <c r="B899" s="74"/>
      <c r="C899" s="71"/>
      <c r="D899" s="71"/>
      <c r="E899" s="72"/>
      <c r="F899" s="70"/>
      <c r="G899" s="72" t="str">
        <f t="shared" ca="1" si="28"/>
        <v/>
      </c>
      <c r="H899" s="72"/>
      <c r="I899" s="71"/>
      <c r="L899" s="55" t="str">
        <f t="shared" ca="1" si="29"/>
        <v>NE</v>
      </c>
    </row>
    <row r="900" spans="1:12" ht="27" thickBot="1">
      <c r="A900" s="72"/>
      <c r="B900" s="74"/>
      <c r="C900" s="71"/>
      <c r="D900" s="71"/>
      <c r="E900" s="72"/>
      <c r="F900" s="70"/>
      <c r="G900" s="72" t="str">
        <f t="shared" ca="1" si="28"/>
        <v/>
      </c>
      <c r="H900" s="72"/>
      <c r="I900" s="71"/>
      <c r="L900" s="55" t="str">
        <f t="shared" ca="1" si="29"/>
        <v>NE</v>
      </c>
    </row>
    <row r="901" spans="1:12" ht="27" thickBot="1">
      <c r="A901" s="72"/>
      <c r="B901" s="74"/>
      <c r="C901" s="71"/>
      <c r="D901" s="71"/>
      <c r="E901" s="72"/>
      <c r="F901" s="70"/>
      <c r="G901" s="72" t="str">
        <f t="shared" ca="1" si="28"/>
        <v/>
      </c>
      <c r="H901" s="72"/>
      <c r="I901" s="71"/>
      <c r="L901" s="55" t="str">
        <f t="shared" ca="1" si="29"/>
        <v>NE</v>
      </c>
    </row>
    <row r="902" spans="1:12" ht="27" thickBot="1">
      <c r="A902" s="72"/>
      <c r="B902" s="74"/>
      <c r="C902" s="71"/>
      <c r="D902" s="71"/>
      <c r="E902" s="72"/>
      <c r="F902" s="70"/>
      <c r="G902" s="72" t="str">
        <f t="shared" ca="1" si="28"/>
        <v/>
      </c>
      <c r="H902" s="72"/>
      <c r="I902" s="71"/>
      <c r="L902" s="55" t="str">
        <f t="shared" ca="1" si="29"/>
        <v>NE</v>
      </c>
    </row>
    <row r="903" spans="1:12" ht="27" thickBot="1">
      <c r="A903" s="72"/>
      <c r="B903" s="74"/>
      <c r="C903" s="71"/>
      <c r="D903" s="71"/>
      <c r="E903" s="72"/>
      <c r="F903" s="70"/>
      <c r="G903" s="72" t="str">
        <f t="shared" ca="1" si="28"/>
        <v/>
      </c>
      <c r="H903" s="72"/>
      <c r="I903" s="71"/>
      <c r="L903" s="55" t="str">
        <f t="shared" ca="1" si="29"/>
        <v>NE</v>
      </c>
    </row>
    <row r="904" spans="1:12" ht="27" thickBot="1">
      <c r="A904" s="72"/>
      <c r="B904" s="74"/>
      <c r="C904" s="71"/>
      <c r="D904" s="71"/>
      <c r="E904" s="72"/>
      <c r="F904" s="70"/>
      <c r="G904" s="72" t="str">
        <f t="shared" ca="1" si="28"/>
        <v/>
      </c>
      <c r="H904" s="72"/>
      <c r="I904" s="71"/>
      <c r="L904" s="55" t="str">
        <f t="shared" ca="1" si="29"/>
        <v>NE</v>
      </c>
    </row>
    <row r="905" spans="1:12" ht="27" thickBot="1">
      <c r="A905" s="72"/>
      <c r="B905" s="74"/>
      <c r="C905" s="71"/>
      <c r="D905" s="71"/>
      <c r="E905" s="72"/>
      <c r="F905" s="70"/>
      <c r="G905" s="72" t="str">
        <f t="shared" ca="1" si="28"/>
        <v/>
      </c>
      <c r="H905" s="72"/>
      <c r="I905" s="71"/>
      <c r="L905" s="55" t="str">
        <f t="shared" ca="1" si="29"/>
        <v>NE</v>
      </c>
    </row>
    <row r="906" spans="1:12" ht="27" thickBot="1">
      <c r="A906" s="72"/>
      <c r="B906" s="74"/>
      <c r="C906" s="71"/>
      <c r="D906" s="71"/>
      <c r="E906" s="72"/>
      <c r="F906" s="70"/>
      <c r="G906" s="72" t="str">
        <f t="shared" ca="1" si="28"/>
        <v/>
      </c>
      <c r="H906" s="72"/>
      <c r="I906" s="71"/>
      <c r="L906" s="55" t="str">
        <f t="shared" ca="1" si="29"/>
        <v>NE</v>
      </c>
    </row>
    <row r="907" spans="1:12" ht="27" thickBot="1">
      <c r="A907" s="72"/>
      <c r="B907" s="74"/>
      <c r="C907" s="71"/>
      <c r="D907" s="71"/>
      <c r="E907" s="72"/>
      <c r="F907" s="70"/>
      <c r="G907" s="72" t="str">
        <f t="shared" ca="1" si="28"/>
        <v/>
      </c>
      <c r="H907" s="72"/>
      <c r="I907" s="71"/>
      <c r="L907" s="55" t="str">
        <f t="shared" ca="1" si="29"/>
        <v>NE</v>
      </c>
    </row>
    <row r="908" spans="1:12" ht="27" thickBot="1">
      <c r="A908" s="72"/>
      <c r="B908" s="74"/>
      <c r="C908" s="71"/>
      <c r="D908" s="71"/>
      <c r="E908" s="72"/>
      <c r="F908" s="70"/>
      <c r="G908" s="72" t="str">
        <f t="shared" ca="1" si="28"/>
        <v/>
      </c>
      <c r="H908" s="72"/>
      <c r="I908" s="71"/>
      <c r="L908" s="55" t="str">
        <f t="shared" ca="1" si="29"/>
        <v>NE</v>
      </c>
    </row>
    <row r="909" spans="1:12" ht="27" thickBot="1">
      <c r="A909" s="72"/>
      <c r="B909" s="74"/>
      <c r="C909" s="71"/>
      <c r="D909" s="71"/>
      <c r="E909" s="72"/>
      <c r="F909" s="70"/>
      <c r="G909" s="72" t="str">
        <f t="shared" ca="1" si="28"/>
        <v/>
      </c>
      <c r="H909" s="72"/>
      <c r="I909" s="71"/>
      <c r="L909" s="55" t="str">
        <f t="shared" ca="1" si="29"/>
        <v>NE</v>
      </c>
    </row>
    <row r="910" spans="1:12" ht="27" thickBot="1">
      <c r="A910" s="72"/>
      <c r="B910" s="74"/>
      <c r="C910" s="71"/>
      <c r="D910" s="71"/>
      <c r="E910" s="72"/>
      <c r="F910" s="70"/>
      <c r="G910" s="72" t="str">
        <f t="shared" ca="1" si="28"/>
        <v/>
      </c>
      <c r="H910" s="72"/>
      <c r="I910" s="71"/>
      <c r="L910" s="55" t="str">
        <f t="shared" ca="1" si="29"/>
        <v>NE</v>
      </c>
    </row>
    <row r="911" spans="1:12" ht="27" thickBot="1">
      <c r="A911" s="72"/>
      <c r="B911" s="74"/>
      <c r="C911" s="71"/>
      <c r="D911" s="71"/>
      <c r="E911" s="72"/>
      <c r="F911" s="70"/>
      <c r="G911" s="72" t="str">
        <f t="shared" ca="1" si="28"/>
        <v/>
      </c>
      <c r="H911" s="72"/>
      <c r="I911" s="71"/>
      <c r="L911" s="55" t="str">
        <f t="shared" ca="1" si="29"/>
        <v>NE</v>
      </c>
    </row>
    <row r="912" spans="1:12" ht="27" thickBot="1">
      <c r="A912" s="72"/>
      <c r="B912" s="74"/>
      <c r="C912" s="71"/>
      <c r="D912" s="71"/>
      <c r="E912" s="72"/>
      <c r="F912" s="70"/>
      <c r="G912" s="72" t="str">
        <f t="shared" ca="1" si="28"/>
        <v/>
      </c>
      <c r="H912" s="72"/>
      <c r="I912" s="71"/>
      <c r="L912" s="55" t="str">
        <f t="shared" ca="1" si="29"/>
        <v>NE</v>
      </c>
    </row>
    <row r="913" spans="1:12" ht="27" thickBot="1">
      <c r="A913" s="72"/>
      <c r="B913" s="74"/>
      <c r="C913" s="71"/>
      <c r="D913" s="71"/>
      <c r="E913" s="72"/>
      <c r="F913" s="70"/>
      <c r="G913" s="72" t="str">
        <f t="shared" ca="1" si="28"/>
        <v/>
      </c>
      <c r="H913" s="72"/>
      <c r="I913" s="71"/>
      <c r="L913" s="55" t="str">
        <f t="shared" ca="1" si="29"/>
        <v>NE</v>
      </c>
    </row>
    <row r="914" spans="1:12" ht="27" thickBot="1">
      <c r="A914" s="72"/>
      <c r="B914" s="74"/>
      <c r="C914" s="71"/>
      <c r="D914" s="71"/>
      <c r="E914" s="72"/>
      <c r="F914" s="70"/>
      <c r="G914" s="72" t="str">
        <f t="shared" ca="1" si="28"/>
        <v/>
      </c>
      <c r="H914" s="72"/>
      <c r="I914" s="71"/>
      <c r="L914" s="55" t="str">
        <f t="shared" ca="1" si="29"/>
        <v>NE</v>
      </c>
    </row>
    <row r="915" spans="1:12" ht="27" thickBot="1">
      <c r="A915" s="72"/>
      <c r="B915" s="74"/>
      <c r="C915" s="71"/>
      <c r="D915" s="71"/>
      <c r="E915" s="72"/>
      <c r="F915" s="70"/>
      <c r="G915" s="72" t="str">
        <f t="shared" ca="1" si="28"/>
        <v/>
      </c>
      <c r="H915" s="72"/>
      <c r="I915" s="71"/>
      <c r="L915" s="55" t="str">
        <f t="shared" ca="1" si="29"/>
        <v>NE</v>
      </c>
    </row>
    <row r="916" spans="1:12" ht="27" thickBot="1">
      <c r="A916" s="72"/>
      <c r="B916" s="74"/>
      <c r="C916" s="71"/>
      <c r="D916" s="71"/>
      <c r="E916" s="72"/>
      <c r="F916" s="70"/>
      <c r="G916" s="72" t="str">
        <f t="shared" ca="1" si="28"/>
        <v/>
      </c>
      <c r="H916" s="72"/>
      <c r="I916" s="71"/>
      <c r="L916" s="55" t="str">
        <f t="shared" ca="1" si="29"/>
        <v>NE</v>
      </c>
    </row>
    <row r="917" spans="1:12" ht="27" thickBot="1">
      <c r="A917" s="72"/>
      <c r="B917" s="74"/>
      <c r="C917" s="71"/>
      <c r="D917" s="71"/>
      <c r="E917" s="72"/>
      <c r="F917" s="70"/>
      <c r="G917" s="72" t="str">
        <f t="shared" ca="1" si="28"/>
        <v/>
      </c>
      <c r="H917" s="72"/>
      <c r="I917" s="71"/>
      <c r="L917" s="55" t="str">
        <f t="shared" ca="1" si="29"/>
        <v>NE</v>
      </c>
    </row>
    <row r="918" spans="1:12" ht="27" thickBot="1">
      <c r="A918" s="72"/>
      <c r="B918" s="74"/>
      <c r="C918" s="71"/>
      <c r="D918" s="71"/>
      <c r="E918" s="72"/>
      <c r="F918" s="70"/>
      <c r="G918" s="72" t="str">
        <f t="shared" ca="1" si="28"/>
        <v/>
      </c>
      <c r="H918" s="72"/>
      <c r="I918" s="71"/>
      <c r="L918" s="55" t="str">
        <f t="shared" ca="1" si="29"/>
        <v>NE</v>
      </c>
    </row>
    <row r="919" spans="1:12" ht="27" thickBot="1">
      <c r="A919" s="72"/>
      <c r="B919" s="74"/>
      <c r="C919" s="71"/>
      <c r="D919" s="71"/>
      <c r="E919" s="72"/>
      <c r="F919" s="70"/>
      <c r="G919" s="72" t="str">
        <f t="shared" ca="1" si="28"/>
        <v/>
      </c>
      <c r="H919" s="72"/>
      <c r="I919" s="71"/>
      <c r="L919" s="55" t="str">
        <f t="shared" ca="1" si="29"/>
        <v>NE</v>
      </c>
    </row>
    <row r="920" spans="1:12" ht="27" thickBot="1">
      <c r="A920" s="72"/>
      <c r="B920" s="74"/>
      <c r="C920" s="71"/>
      <c r="D920" s="71"/>
      <c r="E920" s="72"/>
      <c r="F920" s="70"/>
      <c r="G920" s="72" t="str">
        <f t="shared" ca="1" si="28"/>
        <v/>
      </c>
      <c r="H920" s="72"/>
      <c r="I920" s="71"/>
      <c r="L920" s="55" t="str">
        <f t="shared" ca="1" si="29"/>
        <v>NE</v>
      </c>
    </row>
    <row r="921" spans="1:12" ht="27" thickBot="1">
      <c r="A921" s="72"/>
      <c r="B921" s="74"/>
      <c r="C921" s="71"/>
      <c r="D921" s="71"/>
      <c r="E921" s="72"/>
      <c r="F921" s="70"/>
      <c r="G921" s="72" t="str">
        <f t="shared" ca="1" si="28"/>
        <v/>
      </c>
      <c r="H921" s="72"/>
      <c r="I921" s="71"/>
      <c r="L921" s="55" t="str">
        <f t="shared" ca="1" si="29"/>
        <v>NE</v>
      </c>
    </row>
    <row r="922" spans="1:12" ht="27" thickBot="1">
      <c r="A922" s="72"/>
      <c r="B922" s="74"/>
      <c r="C922" s="71"/>
      <c r="D922" s="71"/>
      <c r="E922" s="72"/>
      <c r="F922" s="70"/>
      <c r="G922" s="72" t="str">
        <f t="shared" ca="1" si="28"/>
        <v/>
      </c>
      <c r="H922" s="72"/>
      <c r="I922" s="71"/>
      <c r="L922" s="55" t="str">
        <f t="shared" ca="1" si="29"/>
        <v>NE</v>
      </c>
    </row>
    <row r="923" spans="1:12" ht="27" thickBot="1">
      <c r="A923" s="72"/>
      <c r="B923" s="74"/>
      <c r="C923" s="71"/>
      <c r="D923" s="71"/>
      <c r="E923" s="72"/>
      <c r="F923" s="70"/>
      <c r="G923" s="72" t="str">
        <f t="shared" ca="1" si="28"/>
        <v/>
      </c>
      <c r="H923" s="72"/>
      <c r="I923" s="71"/>
      <c r="L923" s="55" t="str">
        <f t="shared" ca="1" si="29"/>
        <v>NE</v>
      </c>
    </row>
    <row r="924" spans="1:12" ht="27" thickBot="1">
      <c r="A924" s="72"/>
      <c r="B924" s="74"/>
      <c r="C924" s="71"/>
      <c r="D924" s="71"/>
      <c r="E924" s="72"/>
      <c r="F924" s="70"/>
      <c r="G924" s="72" t="str">
        <f t="shared" ca="1" si="28"/>
        <v/>
      </c>
      <c r="H924" s="72"/>
      <c r="I924" s="71"/>
      <c r="L924" s="55" t="str">
        <f t="shared" ca="1" si="29"/>
        <v>NE</v>
      </c>
    </row>
    <row r="925" spans="1:12" ht="27" thickBot="1">
      <c r="A925" s="72"/>
      <c r="B925" s="74"/>
      <c r="C925" s="71"/>
      <c r="D925" s="71"/>
      <c r="E925" s="72"/>
      <c r="F925" s="70"/>
      <c r="G925" s="72" t="str">
        <f t="shared" ca="1" si="28"/>
        <v/>
      </c>
      <c r="H925" s="72"/>
      <c r="I925" s="71"/>
      <c r="L925" s="55" t="str">
        <f t="shared" ca="1" si="29"/>
        <v>NE</v>
      </c>
    </row>
    <row r="926" spans="1:12" ht="27" thickBot="1">
      <c r="A926" s="72"/>
      <c r="B926" s="74"/>
      <c r="C926" s="71"/>
      <c r="D926" s="71"/>
      <c r="E926" s="72"/>
      <c r="F926" s="70"/>
      <c r="G926" s="72" t="str">
        <f t="shared" ca="1" si="28"/>
        <v/>
      </c>
      <c r="H926" s="72"/>
      <c r="I926" s="71"/>
      <c r="L926" s="55" t="str">
        <f t="shared" ca="1" si="29"/>
        <v>NE</v>
      </c>
    </row>
    <row r="927" spans="1:12" ht="27" thickBot="1">
      <c r="A927" s="72"/>
      <c r="B927" s="74"/>
      <c r="C927" s="71"/>
      <c r="D927" s="71"/>
      <c r="E927" s="72"/>
      <c r="F927" s="70"/>
      <c r="G927" s="72" t="str">
        <f t="shared" ca="1" si="28"/>
        <v/>
      </c>
      <c r="H927" s="72"/>
      <c r="I927" s="71"/>
      <c r="L927" s="55" t="str">
        <f t="shared" ca="1" si="29"/>
        <v>NE</v>
      </c>
    </row>
    <row r="928" spans="1:12" ht="27" thickBot="1">
      <c r="A928" s="72"/>
      <c r="B928" s="74"/>
      <c r="C928" s="71"/>
      <c r="D928" s="71"/>
      <c r="E928" s="72"/>
      <c r="F928" s="70"/>
      <c r="G928" s="72" t="str">
        <f t="shared" ca="1" si="28"/>
        <v/>
      </c>
      <c r="H928" s="72"/>
      <c r="I928" s="71"/>
      <c r="L928" s="55" t="str">
        <f t="shared" ca="1" si="29"/>
        <v>NE</v>
      </c>
    </row>
    <row r="929" spans="1:12" ht="27" thickBot="1">
      <c r="A929" s="72"/>
      <c r="B929" s="74"/>
      <c r="C929" s="71"/>
      <c r="D929" s="71"/>
      <c r="E929" s="72"/>
      <c r="F929" s="70"/>
      <c r="G929" s="72" t="str">
        <f t="shared" ca="1" si="28"/>
        <v/>
      </c>
      <c r="H929" s="72"/>
      <c r="I929" s="71"/>
      <c r="L929" s="55" t="str">
        <f t="shared" ca="1" si="29"/>
        <v>NE</v>
      </c>
    </row>
    <row r="930" spans="1:12" ht="27" thickBot="1">
      <c r="A930" s="72"/>
      <c r="B930" s="74"/>
      <c r="C930" s="71"/>
      <c r="D930" s="71"/>
      <c r="E930" s="72"/>
      <c r="F930" s="70"/>
      <c r="G930" s="72" t="str">
        <f t="shared" ca="1" si="28"/>
        <v/>
      </c>
      <c r="H930" s="72"/>
      <c r="I930" s="71"/>
      <c r="L930" s="55" t="str">
        <f t="shared" ca="1" si="29"/>
        <v>NE</v>
      </c>
    </row>
    <row r="931" spans="1:12" ht="27" thickBot="1">
      <c r="A931" s="72"/>
      <c r="B931" s="74"/>
      <c r="C931" s="71"/>
      <c r="D931" s="71"/>
      <c r="E931" s="72"/>
      <c r="F931" s="70"/>
      <c r="G931" s="72" t="str">
        <f t="shared" ca="1" si="28"/>
        <v/>
      </c>
      <c r="H931" s="72"/>
      <c r="I931" s="71"/>
      <c r="L931" s="55" t="str">
        <f t="shared" ca="1" si="29"/>
        <v>NE</v>
      </c>
    </row>
    <row r="932" spans="1:12" ht="27" thickBot="1">
      <c r="A932" s="72"/>
      <c r="B932" s="74"/>
      <c r="C932" s="71"/>
      <c r="D932" s="71"/>
      <c r="E932" s="72"/>
      <c r="F932" s="70"/>
      <c r="G932" s="72" t="str">
        <f t="shared" ca="1" si="28"/>
        <v/>
      </c>
      <c r="H932" s="72"/>
      <c r="I932" s="71"/>
      <c r="L932" s="55" t="str">
        <f t="shared" ca="1" si="29"/>
        <v>NE</v>
      </c>
    </row>
    <row r="933" spans="1:12" ht="27" thickBot="1">
      <c r="A933" s="72"/>
      <c r="B933" s="74"/>
      <c r="C933" s="71"/>
      <c r="D933" s="71"/>
      <c r="E933" s="72"/>
      <c r="F933" s="70"/>
      <c r="G933" s="72" t="str">
        <f t="shared" ca="1" si="28"/>
        <v/>
      </c>
      <c r="H933" s="72"/>
      <c r="I933" s="71"/>
      <c r="L933" s="55" t="str">
        <f t="shared" ca="1" si="29"/>
        <v>NE</v>
      </c>
    </row>
    <row r="934" spans="1:12" ht="27" thickBot="1">
      <c r="A934" s="72"/>
      <c r="B934" s="74"/>
      <c r="C934" s="71"/>
      <c r="D934" s="71"/>
      <c r="E934" s="72"/>
      <c r="F934" s="70"/>
      <c r="G934" s="72" t="str">
        <f t="shared" ca="1" si="28"/>
        <v/>
      </c>
      <c r="H934" s="72"/>
      <c r="I934" s="71"/>
      <c r="L934" s="55" t="str">
        <f t="shared" ca="1" si="29"/>
        <v>NE</v>
      </c>
    </row>
    <row r="935" spans="1:12" ht="27" thickBot="1">
      <c r="A935" s="72"/>
      <c r="B935" s="74"/>
      <c r="C935" s="71"/>
      <c r="D935" s="71"/>
      <c r="E935" s="72"/>
      <c r="F935" s="70"/>
      <c r="G935" s="72" t="str">
        <f t="shared" ca="1" si="28"/>
        <v/>
      </c>
      <c r="H935" s="72"/>
      <c r="I935" s="71"/>
      <c r="L935" s="55" t="str">
        <f t="shared" ca="1" si="29"/>
        <v>NE</v>
      </c>
    </row>
    <row r="936" spans="1:12" ht="27" thickBot="1">
      <c r="A936" s="72"/>
      <c r="B936" s="74"/>
      <c r="C936" s="71"/>
      <c r="D936" s="71"/>
      <c r="E936" s="72"/>
      <c r="F936" s="70"/>
      <c r="G936" s="72" t="str">
        <f t="shared" ca="1" si="28"/>
        <v/>
      </c>
      <c r="H936" s="72"/>
      <c r="I936" s="71"/>
      <c r="L936" s="55" t="str">
        <f t="shared" ca="1" si="29"/>
        <v>NE</v>
      </c>
    </row>
    <row r="937" spans="1:12" ht="27" thickBot="1">
      <c r="A937" s="72"/>
      <c r="B937" s="74"/>
      <c r="C937" s="71"/>
      <c r="D937" s="71"/>
      <c r="E937" s="72"/>
      <c r="F937" s="70"/>
      <c r="G937" s="72" t="str">
        <f t="shared" ca="1" si="28"/>
        <v/>
      </c>
      <c r="H937" s="72"/>
      <c r="I937" s="71"/>
      <c r="L937" s="55" t="str">
        <f t="shared" ca="1" si="29"/>
        <v>NE</v>
      </c>
    </row>
    <row r="938" spans="1:12" ht="27" thickBot="1">
      <c r="A938" s="72"/>
      <c r="B938" s="74"/>
      <c r="C938" s="71"/>
      <c r="D938" s="71"/>
      <c r="E938" s="72"/>
      <c r="F938" s="70"/>
      <c r="G938" s="72" t="str">
        <f t="shared" ca="1" si="28"/>
        <v/>
      </c>
      <c r="H938" s="72"/>
      <c r="I938" s="71"/>
      <c r="L938" s="55" t="str">
        <f t="shared" ca="1" si="29"/>
        <v>NE</v>
      </c>
    </row>
    <row r="939" spans="1:12" ht="27" thickBot="1">
      <c r="A939" s="72"/>
      <c r="B939" s="74"/>
      <c r="C939" s="71"/>
      <c r="D939" s="71"/>
      <c r="E939" s="72"/>
      <c r="F939" s="70"/>
      <c r="G939" s="72" t="str">
        <f t="shared" ca="1" si="28"/>
        <v/>
      </c>
      <c r="H939" s="72"/>
      <c r="I939" s="71"/>
      <c r="L939" s="55" t="str">
        <f t="shared" ca="1" si="29"/>
        <v>NE</v>
      </c>
    </row>
    <row r="940" spans="1:12" ht="27" thickBot="1">
      <c r="A940" s="72"/>
      <c r="B940" s="74"/>
      <c r="C940" s="71"/>
      <c r="D940" s="71"/>
      <c r="E940" s="72"/>
      <c r="F940" s="70"/>
      <c r="G940" s="72" t="str">
        <f t="shared" ca="1" si="28"/>
        <v/>
      </c>
      <c r="H940" s="72"/>
      <c r="I940" s="71"/>
      <c r="L940" s="55" t="str">
        <f t="shared" ca="1" si="29"/>
        <v>NE</v>
      </c>
    </row>
    <row r="941" spans="1:12" ht="27" thickBot="1">
      <c r="A941" s="72"/>
      <c r="B941" s="74"/>
      <c r="C941" s="71"/>
      <c r="D941" s="71"/>
      <c r="E941" s="72"/>
      <c r="F941" s="70"/>
      <c r="G941" s="72" t="str">
        <f t="shared" ca="1" si="28"/>
        <v/>
      </c>
      <c r="H941" s="72"/>
      <c r="I941" s="71"/>
      <c r="L941" s="55" t="str">
        <f t="shared" ca="1" si="29"/>
        <v>NE</v>
      </c>
    </row>
    <row r="942" spans="1:12" ht="27" thickBot="1">
      <c r="A942" s="72"/>
      <c r="B942" s="74"/>
      <c r="C942" s="71"/>
      <c r="D942" s="71"/>
      <c r="E942" s="72"/>
      <c r="F942" s="70"/>
      <c r="G942" s="72" t="str">
        <f t="shared" ref="G942:G1005" ca="1" si="30">IF(ISBLANK(F942),"",IF(F942&gt;=TODAY(), "Non Echue", "Echue"))</f>
        <v/>
      </c>
      <c r="H942" s="72"/>
      <c r="I942" s="71"/>
      <c r="L942" s="55" t="str">
        <f t="shared" ref="L942:L1005" ca="1" si="31" xml:space="preserve"> IF(G942 = "Echue",IF(H942 = "Appliqué","EAP","NAP"),"NE")</f>
        <v>NE</v>
      </c>
    </row>
    <row r="943" spans="1:12" ht="27" thickBot="1">
      <c r="A943" s="72"/>
      <c r="B943" s="74"/>
      <c r="C943" s="71"/>
      <c r="D943" s="71"/>
      <c r="E943" s="72"/>
      <c r="F943" s="70"/>
      <c r="G943" s="72" t="str">
        <f t="shared" ca="1" si="30"/>
        <v/>
      </c>
      <c r="H943" s="72"/>
      <c r="I943" s="71"/>
      <c r="L943" s="55" t="str">
        <f t="shared" ca="1" si="31"/>
        <v>NE</v>
      </c>
    </row>
    <row r="944" spans="1:12" ht="27" thickBot="1">
      <c r="A944" s="72"/>
      <c r="B944" s="74"/>
      <c r="C944" s="71"/>
      <c r="D944" s="71"/>
      <c r="E944" s="72"/>
      <c r="F944" s="70"/>
      <c r="G944" s="72" t="str">
        <f t="shared" ca="1" si="30"/>
        <v/>
      </c>
      <c r="H944" s="72"/>
      <c r="I944" s="71"/>
      <c r="L944" s="55" t="str">
        <f t="shared" ca="1" si="31"/>
        <v>NE</v>
      </c>
    </row>
    <row r="945" spans="1:12" ht="27" thickBot="1">
      <c r="A945" s="72"/>
      <c r="B945" s="74"/>
      <c r="C945" s="71"/>
      <c r="D945" s="71"/>
      <c r="E945" s="72"/>
      <c r="F945" s="70"/>
      <c r="G945" s="72" t="str">
        <f t="shared" ca="1" si="30"/>
        <v/>
      </c>
      <c r="H945" s="72"/>
      <c r="I945" s="71"/>
      <c r="L945" s="55" t="str">
        <f t="shared" ca="1" si="31"/>
        <v>NE</v>
      </c>
    </row>
    <row r="946" spans="1:12" ht="27" thickBot="1">
      <c r="A946" s="72"/>
      <c r="B946" s="74"/>
      <c r="C946" s="71"/>
      <c r="D946" s="71"/>
      <c r="E946" s="72"/>
      <c r="F946" s="70"/>
      <c r="G946" s="72" t="str">
        <f t="shared" ca="1" si="30"/>
        <v/>
      </c>
      <c r="H946" s="72"/>
      <c r="I946" s="71"/>
      <c r="L946" s="55" t="str">
        <f t="shared" ca="1" si="31"/>
        <v>NE</v>
      </c>
    </row>
    <row r="947" spans="1:12" ht="27" thickBot="1">
      <c r="A947" s="72"/>
      <c r="B947" s="74"/>
      <c r="C947" s="71"/>
      <c r="D947" s="71"/>
      <c r="E947" s="72"/>
      <c r="F947" s="70"/>
      <c r="G947" s="72" t="str">
        <f t="shared" ca="1" si="30"/>
        <v/>
      </c>
      <c r="H947" s="72"/>
      <c r="I947" s="71"/>
      <c r="L947" s="55" t="str">
        <f t="shared" ca="1" si="31"/>
        <v>NE</v>
      </c>
    </row>
    <row r="948" spans="1:12" ht="27" thickBot="1">
      <c r="A948" s="72"/>
      <c r="B948" s="74"/>
      <c r="C948" s="71"/>
      <c r="D948" s="71"/>
      <c r="E948" s="72"/>
      <c r="F948" s="70"/>
      <c r="G948" s="72" t="str">
        <f t="shared" ca="1" si="30"/>
        <v/>
      </c>
      <c r="H948" s="72"/>
      <c r="I948" s="71"/>
      <c r="L948" s="55" t="str">
        <f t="shared" ca="1" si="31"/>
        <v>NE</v>
      </c>
    </row>
    <row r="949" spans="1:12" ht="27" thickBot="1">
      <c r="A949" s="72"/>
      <c r="B949" s="74"/>
      <c r="C949" s="71"/>
      <c r="D949" s="71"/>
      <c r="E949" s="72"/>
      <c r="F949" s="70"/>
      <c r="G949" s="72" t="str">
        <f t="shared" ca="1" si="30"/>
        <v/>
      </c>
      <c r="H949" s="72"/>
      <c r="I949" s="71"/>
      <c r="L949" s="55" t="str">
        <f t="shared" ca="1" si="31"/>
        <v>NE</v>
      </c>
    </row>
    <row r="950" spans="1:12" ht="27" thickBot="1">
      <c r="A950" s="72"/>
      <c r="B950" s="74"/>
      <c r="C950" s="71"/>
      <c r="D950" s="71"/>
      <c r="E950" s="72"/>
      <c r="F950" s="70"/>
      <c r="G950" s="72" t="str">
        <f t="shared" ca="1" si="30"/>
        <v/>
      </c>
      <c r="H950" s="72"/>
      <c r="I950" s="71"/>
      <c r="L950" s="55" t="str">
        <f t="shared" ca="1" si="31"/>
        <v>NE</v>
      </c>
    </row>
    <row r="951" spans="1:12" ht="27" thickBot="1">
      <c r="A951" s="72"/>
      <c r="B951" s="74"/>
      <c r="C951" s="71"/>
      <c r="D951" s="71"/>
      <c r="E951" s="72"/>
      <c r="F951" s="70"/>
      <c r="G951" s="72" t="str">
        <f t="shared" ca="1" si="30"/>
        <v/>
      </c>
      <c r="H951" s="72"/>
      <c r="I951" s="71"/>
      <c r="L951" s="55" t="str">
        <f t="shared" ca="1" si="31"/>
        <v>NE</v>
      </c>
    </row>
    <row r="952" spans="1:12" ht="27" thickBot="1">
      <c r="A952" s="72"/>
      <c r="B952" s="74"/>
      <c r="C952" s="71"/>
      <c r="D952" s="71"/>
      <c r="E952" s="72"/>
      <c r="F952" s="70"/>
      <c r="G952" s="72" t="str">
        <f t="shared" ca="1" si="30"/>
        <v/>
      </c>
      <c r="H952" s="72"/>
      <c r="I952" s="71"/>
      <c r="L952" s="55" t="str">
        <f t="shared" ca="1" si="31"/>
        <v>NE</v>
      </c>
    </row>
    <row r="953" spans="1:12" ht="27" thickBot="1">
      <c r="A953" s="72"/>
      <c r="B953" s="74"/>
      <c r="C953" s="71"/>
      <c r="D953" s="71"/>
      <c r="E953" s="72"/>
      <c r="F953" s="70"/>
      <c r="G953" s="72" t="str">
        <f t="shared" ca="1" si="30"/>
        <v/>
      </c>
      <c r="H953" s="72"/>
      <c r="I953" s="71"/>
      <c r="L953" s="55" t="str">
        <f t="shared" ca="1" si="31"/>
        <v>NE</v>
      </c>
    </row>
    <row r="954" spans="1:12" ht="27" thickBot="1">
      <c r="A954" s="72"/>
      <c r="B954" s="74"/>
      <c r="C954" s="71"/>
      <c r="D954" s="71"/>
      <c r="E954" s="72"/>
      <c r="F954" s="70"/>
      <c r="G954" s="72" t="str">
        <f t="shared" ca="1" si="30"/>
        <v/>
      </c>
      <c r="H954" s="72"/>
      <c r="I954" s="71"/>
      <c r="L954" s="55" t="str">
        <f t="shared" ca="1" si="31"/>
        <v>NE</v>
      </c>
    </row>
    <row r="955" spans="1:12" ht="27" thickBot="1">
      <c r="A955" s="72"/>
      <c r="B955" s="74"/>
      <c r="C955" s="71"/>
      <c r="D955" s="71"/>
      <c r="E955" s="72"/>
      <c r="F955" s="70"/>
      <c r="G955" s="72" t="str">
        <f t="shared" ca="1" si="30"/>
        <v/>
      </c>
      <c r="H955" s="72"/>
      <c r="I955" s="71"/>
      <c r="L955" s="55" t="str">
        <f t="shared" ca="1" si="31"/>
        <v>NE</v>
      </c>
    </row>
    <row r="956" spans="1:12" ht="27" thickBot="1">
      <c r="A956" s="72"/>
      <c r="B956" s="74"/>
      <c r="C956" s="71"/>
      <c r="D956" s="71"/>
      <c r="E956" s="72"/>
      <c r="F956" s="70"/>
      <c r="G956" s="72" t="str">
        <f t="shared" ca="1" si="30"/>
        <v/>
      </c>
      <c r="H956" s="72"/>
      <c r="I956" s="71"/>
      <c r="L956" s="55" t="str">
        <f t="shared" ca="1" si="31"/>
        <v>NE</v>
      </c>
    </row>
    <row r="957" spans="1:12" ht="27" thickBot="1">
      <c r="A957" s="72"/>
      <c r="B957" s="74"/>
      <c r="C957" s="71"/>
      <c r="D957" s="71"/>
      <c r="E957" s="72"/>
      <c r="F957" s="70"/>
      <c r="G957" s="72" t="str">
        <f t="shared" ca="1" si="30"/>
        <v/>
      </c>
      <c r="H957" s="72"/>
      <c r="I957" s="71"/>
      <c r="L957" s="55" t="str">
        <f t="shared" ca="1" si="31"/>
        <v>NE</v>
      </c>
    </row>
    <row r="958" spans="1:12" ht="27" thickBot="1">
      <c r="A958" s="72"/>
      <c r="B958" s="74"/>
      <c r="C958" s="71"/>
      <c r="D958" s="71"/>
      <c r="E958" s="72"/>
      <c r="F958" s="70"/>
      <c r="G958" s="72" t="str">
        <f t="shared" ca="1" si="30"/>
        <v/>
      </c>
      <c r="H958" s="72"/>
      <c r="I958" s="71"/>
      <c r="L958" s="55" t="str">
        <f t="shared" ca="1" si="31"/>
        <v>NE</v>
      </c>
    </row>
    <row r="959" spans="1:12" ht="27" thickBot="1">
      <c r="A959" s="72"/>
      <c r="B959" s="74"/>
      <c r="C959" s="71"/>
      <c r="D959" s="71"/>
      <c r="E959" s="72"/>
      <c r="F959" s="70"/>
      <c r="G959" s="72" t="str">
        <f t="shared" ca="1" si="30"/>
        <v/>
      </c>
      <c r="H959" s="72"/>
      <c r="I959" s="71"/>
      <c r="L959" s="55" t="str">
        <f t="shared" ca="1" si="31"/>
        <v>NE</v>
      </c>
    </row>
    <row r="960" spans="1:12" ht="27" thickBot="1">
      <c r="A960" s="72"/>
      <c r="B960" s="74"/>
      <c r="C960" s="71"/>
      <c r="D960" s="71"/>
      <c r="E960" s="72"/>
      <c r="F960" s="70"/>
      <c r="G960" s="72" t="str">
        <f t="shared" ca="1" si="30"/>
        <v/>
      </c>
      <c r="H960" s="72"/>
      <c r="I960" s="71"/>
      <c r="L960" s="55" t="str">
        <f t="shared" ca="1" si="31"/>
        <v>NE</v>
      </c>
    </row>
    <row r="961" spans="1:12" ht="27" thickBot="1">
      <c r="A961" s="72"/>
      <c r="B961" s="74"/>
      <c r="C961" s="71"/>
      <c r="D961" s="71"/>
      <c r="E961" s="72"/>
      <c r="F961" s="70"/>
      <c r="G961" s="72" t="str">
        <f t="shared" ca="1" si="30"/>
        <v/>
      </c>
      <c r="H961" s="72"/>
      <c r="I961" s="71"/>
      <c r="L961" s="55" t="str">
        <f t="shared" ca="1" si="31"/>
        <v>NE</v>
      </c>
    </row>
    <row r="962" spans="1:12" ht="27" thickBot="1">
      <c r="A962" s="72"/>
      <c r="B962" s="74"/>
      <c r="C962" s="71"/>
      <c r="D962" s="71"/>
      <c r="E962" s="72"/>
      <c r="F962" s="70"/>
      <c r="G962" s="72" t="str">
        <f t="shared" ca="1" si="30"/>
        <v/>
      </c>
      <c r="H962" s="72"/>
      <c r="I962" s="71"/>
      <c r="L962" s="55" t="str">
        <f t="shared" ca="1" si="31"/>
        <v>NE</v>
      </c>
    </row>
    <row r="963" spans="1:12" ht="27" thickBot="1">
      <c r="A963" s="72"/>
      <c r="B963" s="74"/>
      <c r="C963" s="71"/>
      <c r="D963" s="71"/>
      <c r="E963" s="72"/>
      <c r="F963" s="70"/>
      <c r="G963" s="72" t="str">
        <f t="shared" ca="1" si="30"/>
        <v/>
      </c>
      <c r="H963" s="72"/>
      <c r="I963" s="71"/>
      <c r="L963" s="55" t="str">
        <f t="shared" ca="1" si="31"/>
        <v>NE</v>
      </c>
    </row>
    <row r="964" spans="1:12" ht="27" thickBot="1">
      <c r="A964" s="72"/>
      <c r="B964" s="74"/>
      <c r="C964" s="71"/>
      <c r="D964" s="71"/>
      <c r="E964" s="72"/>
      <c r="F964" s="70"/>
      <c r="G964" s="72" t="str">
        <f t="shared" ca="1" si="30"/>
        <v/>
      </c>
      <c r="H964" s="72"/>
      <c r="I964" s="71"/>
      <c r="L964" s="55" t="str">
        <f t="shared" ca="1" si="31"/>
        <v>NE</v>
      </c>
    </row>
    <row r="965" spans="1:12" ht="27" thickBot="1">
      <c r="A965" s="72"/>
      <c r="B965" s="74"/>
      <c r="C965" s="71"/>
      <c r="D965" s="71"/>
      <c r="E965" s="72"/>
      <c r="F965" s="70"/>
      <c r="G965" s="72" t="str">
        <f t="shared" ca="1" si="30"/>
        <v/>
      </c>
      <c r="H965" s="72"/>
      <c r="I965" s="71"/>
      <c r="L965" s="55" t="str">
        <f t="shared" ca="1" si="31"/>
        <v>NE</v>
      </c>
    </row>
    <row r="966" spans="1:12" ht="27" thickBot="1">
      <c r="A966" s="72"/>
      <c r="B966" s="74"/>
      <c r="C966" s="71"/>
      <c r="D966" s="71"/>
      <c r="E966" s="72"/>
      <c r="F966" s="70"/>
      <c r="G966" s="72" t="str">
        <f t="shared" ca="1" si="30"/>
        <v/>
      </c>
      <c r="H966" s="72"/>
      <c r="I966" s="71"/>
      <c r="L966" s="55" t="str">
        <f t="shared" ca="1" si="31"/>
        <v>NE</v>
      </c>
    </row>
    <row r="967" spans="1:12" ht="27" thickBot="1">
      <c r="A967" s="72"/>
      <c r="B967" s="74"/>
      <c r="C967" s="71"/>
      <c r="D967" s="71"/>
      <c r="E967" s="72"/>
      <c r="F967" s="70"/>
      <c r="G967" s="72" t="str">
        <f t="shared" ca="1" si="30"/>
        <v/>
      </c>
      <c r="H967" s="72"/>
      <c r="I967" s="71"/>
      <c r="L967" s="55" t="str">
        <f t="shared" ca="1" si="31"/>
        <v>NE</v>
      </c>
    </row>
    <row r="968" spans="1:12" ht="27" thickBot="1">
      <c r="A968" s="72"/>
      <c r="B968" s="74"/>
      <c r="C968" s="71"/>
      <c r="D968" s="71"/>
      <c r="E968" s="72"/>
      <c r="F968" s="70"/>
      <c r="G968" s="72" t="str">
        <f t="shared" ca="1" si="30"/>
        <v/>
      </c>
      <c r="H968" s="72"/>
      <c r="I968" s="71"/>
      <c r="L968" s="55" t="str">
        <f t="shared" ca="1" si="31"/>
        <v>NE</v>
      </c>
    </row>
    <row r="969" spans="1:12" ht="27" thickBot="1">
      <c r="A969" s="72"/>
      <c r="B969" s="74"/>
      <c r="C969" s="71"/>
      <c r="D969" s="71"/>
      <c r="E969" s="72"/>
      <c r="F969" s="70"/>
      <c r="G969" s="72" t="str">
        <f t="shared" ca="1" si="30"/>
        <v/>
      </c>
      <c r="H969" s="72"/>
      <c r="I969" s="71"/>
      <c r="L969" s="55" t="str">
        <f t="shared" ca="1" si="31"/>
        <v>NE</v>
      </c>
    </row>
    <row r="970" spans="1:12" ht="27" thickBot="1">
      <c r="A970" s="72"/>
      <c r="B970" s="74"/>
      <c r="C970" s="71"/>
      <c r="D970" s="71"/>
      <c r="E970" s="72"/>
      <c r="F970" s="70"/>
      <c r="G970" s="72" t="str">
        <f t="shared" ca="1" si="30"/>
        <v/>
      </c>
      <c r="H970" s="72"/>
      <c r="I970" s="71"/>
      <c r="L970" s="55" t="str">
        <f t="shared" ca="1" si="31"/>
        <v>NE</v>
      </c>
    </row>
    <row r="971" spans="1:12" ht="27" thickBot="1">
      <c r="A971" s="72"/>
      <c r="B971" s="74"/>
      <c r="C971" s="71"/>
      <c r="D971" s="71"/>
      <c r="E971" s="72"/>
      <c r="F971" s="70"/>
      <c r="G971" s="72" t="str">
        <f t="shared" ca="1" si="30"/>
        <v/>
      </c>
      <c r="H971" s="72"/>
      <c r="I971" s="71"/>
      <c r="L971" s="55" t="str">
        <f t="shared" ca="1" si="31"/>
        <v>NE</v>
      </c>
    </row>
    <row r="972" spans="1:12" ht="27" thickBot="1">
      <c r="A972" s="72"/>
      <c r="B972" s="74"/>
      <c r="C972" s="71"/>
      <c r="D972" s="71"/>
      <c r="E972" s="72"/>
      <c r="F972" s="70"/>
      <c r="G972" s="72" t="str">
        <f t="shared" ca="1" si="30"/>
        <v/>
      </c>
      <c r="H972" s="72"/>
      <c r="I972" s="71"/>
      <c r="L972" s="55" t="str">
        <f t="shared" ca="1" si="31"/>
        <v>NE</v>
      </c>
    </row>
    <row r="973" spans="1:12" ht="27" thickBot="1">
      <c r="A973" s="72"/>
      <c r="B973" s="74"/>
      <c r="C973" s="71"/>
      <c r="D973" s="71"/>
      <c r="E973" s="72"/>
      <c r="F973" s="70"/>
      <c r="G973" s="72" t="str">
        <f t="shared" ca="1" si="30"/>
        <v/>
      </c>
      <c r="H973" s="72"/>
      <c r="I973" s="71"/>
      <c r="L973" s="55" t="str">
        <f t="shared" ca="1" si="31"/>
        <v>NE</v>
      </c>
    </row>
    <row r="974" spans="1:12" ht="27" thickBot="1">
      <c r="A974" s="72"/>
      <c r="B974" s="74"/>
      <c r="C974" s="71"/>
      <c r="D974" s="71"/>
      <c r="E974" s="72"/>
      <c r="F974" s="70"/>
      <c r="G974" s="72" t="str">
        <f t="shared" ca="1" si="30"/>
        <v/>
      </c>
      <c r="H974" s="72"/>
      <c r="I974" s="71"/>
      <c r="L974" s="55" t="str">
        <f t="shared" ca="1" si="31"/>
        <v>NE</v>
      </c>
    </row>
    <row r="975" spans="1:12" ht="27" thickBot="1">
      <c r="A975" s="72"/>
      <c r="B975" s="74"/>
      <c r="C975" s="71"/>
      <c r="D975" s="71"/>
      <c r="E975" s="72"/>
      <c r="F975" s="70"/>
      <c r="G975" s="72" t="str">
        <f t="shared" ca="1" si="30"/>
        <v/>
      </c>
      <c r="H975" s="72"/>
      <c r="I975" s="71"/>
      <c r="L975" s="55" t="str">
        <f t="shared" ca="1" si="31"/>
        <v>NE</v>
      </c>
    </row>
    <row r="976" spans="1:12" ht="27" thickBot="1">
      <c r="A976" s="72"/>
      <c r="B976" s="74"/>
      <c r="C976" s="71"/>
      <c r="D976" s="71"/>
      <c r="E976" s="72"/>
      <c r="F976" s="70"/>
      <c r="G976" s="72" t="str">
        <f t="shared" ca="1" si="30"/>
        <v/>
      </c>
      <c r="H976" s="72"/>
      <c r="I976" s="71"/>
      <c r="L976" s="55" t="str">
        <f t="shared" ca="1" si="31"/>
        <v>NE</v>
      </c>
    </row>
    <row r="977" spans="1:12" ht="27" thickBot="1">
      <c r="A977" s="72"/>
      <c r="B977" s="74"/>
      <c r="C977" s="71"/>
      <c r="D977" s="71"/>
      <c r="E977" s="72"/>
      <c r="F977" s="70"/>
      <c r="G977" s="72" t="str">
        <f t="shared" ca="1" si="30"/>
        <v/>
      </c>
      <c r="H977" s="72"/>
      <c r="I977" s="71"/>
      <c r="L977" s="55" t="str">
        <f t="shared" ca="1" si="31"/>
        <v>NE</v>
      </c>
    </row>
    <row r="978" spans="1:12" ht="27" thickBot="1">
      <c r="A978" s="72"/>
      <c r="B978" s="74"/>
      <c r="C978" s="71"/>
      <c r="D978" s="71"/>
      <c r="E978" s="72"/>
      <c r="F978" s="70"/>
      <c r="G978" s="72" t="str">
        <f t="shared" ca="1" si="30"/>
        <v/>
      </c>
      <c r="H978" s="72"/>
      <c r="I978" s="71"/>
      <c r="L978" s="55" t="str">
        <f t="shared" ca="1" si="31"/>
        <v>NE</v>
      </c>
    </row>
    <row r="979" spans="1:12" ht="27" thickBot="1">
      <c r="A979" s="72"/>
      <c r="B979" s="74"/>
      <c r="C979" s="71"/>
      <c r="D979" s="71"/>
      <c r="E979" s="72"/>
      <c r="F979" s="70"/>
      <c r="G979" s="72" t="str">
        <f t="shared" ca="1" si="30"/>
        <v/>
      </c>
      <c r="H979" s="72"/>
      <c r="I979" s="71"/>
      <c r="L979" s="55" t="str">
        <f t="shared" ca="1" si="31"/>
        <v>NE</v>
      </c>
    </row>
    <row r="980" spans="1:12" ht="27" thickBot="1">
      <c r="A980" s="72"/>
      <c r="B980" s="74"/>
      <c r="C980" s="71"/>
      <c r="D980" s="71"/>
      <c r="E980" s="72"/>
      <c r="F980" s="70"/>
      <c r="G980" s="72" t="str">
        <f t="shared" ca="1" si="30"/>
        <v/>
      </c>
      <c r="H980" s="72"/>
      <c r="I980" s="71"/>
      <c r="L980" s="55" t="str">
        <f t="shared" ca="1" si="31"/>
        <v>NE</v>
      </c>
    </row>
    <row r="981" spans="1:12" ht="27" thickBot="1">
      <c r="A981" s="72"/>
      <c r="B981" s="74"/>
      <c r="C981" s="71"/>
      <c r="D981" s="71"/>
      <c r="E981" s="72"/>
      <c r="F981" s="70"/>
      <c r="G981" s="72" t="str">
        <f t="shared" ca="1" si="30"/>
        <v/>
      </c>
      <c r="H981" s="72"/>
      <c r="I981" s="71"/>
      <c r="L981" s="55" t="str">
        <f t="shared" ca="1" si="31"/>
        <v>NE</v>
      </c>
    </row>
    <row r="982" spans="1:12" ht="27" thickBot="1">
      <c r="A982" s="72"/>
      <c r="B982" s="74"/>
      <c r="C982" s="71"/>
      <c r="D982" s="71"/>
      <c r="E982" s="72"/>
      <c r="F982" s="70"/>
      <c r="G982" s="72" t="str">
        <f t="shared" ca="1" si="30"/>
        <v/>
      </c>
      <c r="H982" s="72"/>
      <c r="I982" s="71"/>
      <c r="L982" s="55" t="str">
        <f t="shared" ca="1" si="31"/>
        <v>NE</v>
      </c>
    </row>
    <row r="983" spans="1:12" ht="27" thickBot="1">
      <c r="A983" s="72"/>
      <c r="B983" s="74"/>
      <c r="C983" s="71"/>
      <c r="D983" s="71"/>
      <c r="E983" s="72"/>
      <c r="F983" s="70"/>
      <c r="G983" s="72" t="str">
        <f t="shared" ca="1" si="30"/>
        <v/>
      </c>
      <c r="H983" s="72"/>
      <c r="I983" s="71"/>
      <c r="L983" s="55" t="str">
        <f t="shared" ca="1" si="31"/>
        <v>NE</v>
      </c>
    </row>
    <row r="984" spans="1:12" ht="27" thickBot="1">
      <c r="A984" s="72"/>
      <c r="B984" s="74"/>
      <c r="C984" s="71"/>
      <c r="D984" s="71"/>
      <c r="E984" s="72"/>
      <c r="F984" s="70"/>
      <c r="G984" s="72" t="str">
        <f t="shared" ca="1" si="30"/>
        <v/>
      </c>
      <c r="H984" s="72"/>
      <c r="I984" s="71"/>
      <c r="L984" s="55" t="str">
        <f t="shared" ca="1" si="31"/>
        <v>NE</v>
      </c>
    </row>
    <row r="985" spans="1:12" ht="27" thickBot="1">
      <c r="A985" s="72"/>
      <c r="B985" s="74"/>
      <c r="C985" s="71"/>
      <c r="D985" s="71"/>
      <c r="E985" s="72"/>
      <c r="F985" s="70"/>
      <c r="G985" s="72" t="str">
        <f t="shared" ca="1" si="30"/>
        <v/>
      </c>
      <c r="H985" s="72"/>
      <c r="I985" s="71"/>
      <c r="L985" s="55" t="str">
        <f t="shared" ca="1" si="31"/>
        <v>NE</v>
      </c>
    </row>
    <row r="986" spans="1:12" ht="27" thickBot="1">
      <c r="A986" s="72"/>
      <c r="B986" s="74"/>
      <c r="C986" s="71"/>
      <c r="D986" s="71"/>
      <c r="E986" s="72"/>
      <c r="F986" s="70"/>
      <c r="G986" s="72" t="str">
        <f t="shared" ca="1" si="30"/>
        <v/>
      </c>
      <c r="H986" s="72"/>
      <c r="I986" s="71"/>
      <c r="L986" s="55" t="str">
        <f t="shared" ca="1" si="31"/>
        <v>NE</v>
      </c>
    </row>
    <row r="987" spans="1:12" ht="27" thickBot="1">
      <c r="A987" s="72"/>
      <c r="B987" s="74"/>
      <c r="C987" s="71"/>
      <c r="D987" s="71"/>
      <c r="E987" s="72"/>
      <c r="F987" s="70"/>
      <c r="G987" s="72" t="str">
        <f t="shared" ca="1" si="30"/>
        <v/>
      </c>
      <c r="H987" s="72"/>
      <c r="I987" s="71"/>
      <c r="L987" s="55" t="str">
        <f t="shared" ca="1" si="31"/>
        <v>NE</v>
      </c>
    </row>
    <row r="988" spans="1:12" ht="27" thickBot="1">
      <c r="A988" s="72"/>
      <c r="B988" s="74"/>
      <c r="C988" s="71"/>
      <c r="D988" s="71"/>
      <c r="E988" s="72"/>
      <c r="F988" s="70"/>
      <c r="G988" s="72" t="str">
        <f t="shared" ca="1" si="30"/>
        <v/>
      </c>
      <c r="H988" s="72"/>
      <c r="I988" s="71"/>
      <c r="L988" s="55" t="str">
        <f t="shared" ca="1" si="31"/>
        <v>NE</v>
      </c>
    </row>
    <row r="989" spans="1:12" ht="27" thickBot="1">
      <c r="A989" s="72"/>
      <c r="B989" s="74"/>
      <c r="C989" s="71"/>
      <c r="D989" s="71"/>
      <c r="E989" s="72"/>
      <c r="F989" s="70"/>
      <c r="G989" s="72" t="str">
        <f t="shared" ca="1" si="30"/>
        <v/>
      </c>
      <c r="H989" s="72"/>
      <c r="I989" s="71"/>
      <c r="L989" s="55" t="str">
        <f t="shared" ca="1" si="31"/>
        <v>NE</v>
      </c>
    </row>
    <row r="990" spans="1:12" ht="27" thickBot="1">
      <c r="A990" s="72"/>
      <c r="B990" s="74"/>
      <c r="C990" s="71"/>
      <c r="D990" s="71"/>
      <c r="E990" s="72"/>
      <c r="F990" s="70"/>
      <c r="G990" s="72" t="str">
        <f t="shared" ca="1" si="30"/>
        <v/>
      </c>
      <c r="H990" s="72"/>
      <c r="I990" s="71"/>
      <c r="L990" s="55" t="str">
        <f t="shared" ca="1" si="31"/>
        <v>NE</v>
      </c>
    </row>
    <row r="991" spans="1:12" ht="27" thickBot="1">
      <c r="A991" s="72"/>
      <c r="B991" s="74"/>
      <c r="C991" s="71"/>
      <c r="D991" s="71"/>
      <c r="E991" s="72"/>
      <c r="F991" s="70"/>
      <c r="G991" s="72" t="str">
        <f t="shared" ca="1" si="30"/>
        <v/>
      </c>
      <c r="H991" s="72"/>
      <c r="I991" s="71"/>
      <c r="L991" s="55" t="str">
        <f t="shared" ca="1" si="31"/>
        <v>NE</v>
      </c>
    </row>
    <row r="992" spans="1:12" ht="27" thickBot="1">
      <c r="A992" s="72"/>
      <c r="B992" s="74"/>
      <c r="C992" s="71"/>
      <c r="D992" s="71"/>
      <c r="E992" s="72"/>
      <c r="F992" s="70"/>
      <c r="G992" s="72" t="str">
        <f t="shared" ca="1" si="30"/>
        <v/>
      </c>
      <c r="H992" s="72"/>
      <c r="I992" s="71"/>
      <c r="L992" s="55" t="str">
        <f t="shared" ca="1" si="31"/>
        <v>NE</v>
      </c>
    </row>
    <row r="993" spans="1:12" ht="27" thickBot="1">
      <c r="A993" s="72"/>
      <c r="B993" s="74"/>
      <c r="C993" s="71"/>
      <c r="D993" s="71"/>
      <c r="E993" s="72"/>
      <c r="F993" s="70"/>
      <c r="G993" s="72" t="str">
        <f t="shared" ca="1" si="30"/>
        <v/>
      </c>
      <c r="H993" s="72"/>
      <c r="I993" s="71"/>
      <c r="L993" s="55" t="str">
        <f t="shared" ca="1" si="31"/>
        <v>NE</v>
      </c>
    </row>
    <row r="994" spans="1:12" ht="27" thickBot="1">
      <c r="A994" s="72"/>
      <c r="B994" s="74"/>
      <c r="C994" s="71"/>
      <c r="D994" s="71"/>
      <c r="E994" s="72"/>
      <c r="F994" s="70"/>
      <c r="G994" s="72" t="str">
        <f t="shared" ca="1" si="30"/>
        <v/>
      </c>
      <c r="H994" s="72"/>
      <c r="I994" s="71"/>
      <c r="L994" s="55" t="str">
        <f t="shared" ca="1" si="31"/>
        <v>NE</v>
      </c>
    </row>
    <row r="995" spans="1:12" ht="27" thickBot="1">
      <c r="A995" s="72"/>
      <c r="B995" s="74"/>
      <c r="C995" s="71"/>
      <c r="D995" s="71"/>
      <c r="E995" s="72"/>
      <c r="F995" s="70"/>
      <c r="G995" s="72" t="str">
        <f t="shared" ca="1" si="30"/>
        <v/>
      </c>
      <c r="H995" s="72"/>
      <c r="I995" s="71"/>
      <c r="L995" s="55" t="str">
        <f t="shared" ca="1" si="31"/>
        <v>NE</v>
      </c>
    </row>
    <row r="996" spans="1:12" ht="27" thickBot="1">
      <c r="A996" s="72"/>
      <c r="B996" s="74"/>
      <c r="C996" s="71"/>
      <c r="D996" s="71"/>
      <c r="E996" s="72"/>
      <c r="F996" s="70"/>
      <c r="G996" s="72" t="str">
        <f t="shared" ca="1" si="30"/>
        <v/>
      </c>
      <c r="H996" s="72"/>
      <c r="I996" s="71"/>
      <c r="L996" s="55" t="str">
        <f t="shared" ca="1" si="31"/>
        <v>NE</v>
      </c>
    </row>
    <row r="997" spans="1:12" ht="27" thickBot="1">
      <c r="A997" s="72"/>
      <c r="B997" s="74"/>
      <c r="C997" s="71"/>
      <c r="D997" s="71"/>
      <c r="E997" s="72"/>
      <c r="F997" s="70"/>
      <c r="G997" s="72" t="str">
        <f t="shared" ca="1" si="30"/>
        <v/>
      </c>
      <c r="H997" s="72"/>
      <c r="I997" s="71"/>
      <c r="L997" s="55" t="str">
        <f t="shared" ca="1" si="31"/>
        <v>NE</v>
      </c>
    </row>
    <row r="998" spans="1:12" ht="27" thickBot="1">
      <c r="A998" s="72"/>
      <c r="B998" s="74"/>
      <c r="C998" s="71"/>
      <c r="D998" s="71"/>
      <c r="E998" s="72"/>
      <c r="F998" s="70"/>
      <c r="G998" s="72" t="str">
        <f t="shared" ca="1" si="30"/>
        <v/>
      </c>
      <c r="H998" s="72"/>
      <c r="I998" s="71"/>
      <c r="L998" s="55" t="str">
        <f t="shared" ca="1" si="31"/>
        <v>NE</v>
      </c>
    </row>
    <row r="999" spans="1:12" ht="27" thickBot="1">
      <c r="A999" s="72"/>
      <c r="B999" s="74"/>
      <c r="C999" s="71"/>
      <c r="D999" s="71"/>
      <c r="E999" s="72"/>
      <c r="F999" s="70"/>
      <c r="G999" s="72" t="str">
        <f t="shared" ca="1" si="30"/>
        <v/>
      </c>
      <c r="H999" s="72"/>
      <c r="I999" s="71"/>
      <c r="L999" s="55" t="str">
        <f t="shared" ca="1" si="31"/>
        <v>NE</v>
      </c>
    </row>
    <row r="1000" spans="1:12" ht="27" thickBot="1">
      <c r="A1000" s="72"/>
      <c r="B1000" s="74"/>
      <c r="C1000" s="71"/>
      <c r="D1000" s="71"/>
      <c r="E1000" s="72"/>
      <c r="F1000" s="70"/>
      <c r="G1000" s="72" t="str">
        <f t="shared" ca="1" si="30"/>
        <v/>
      </c>
      <c r="H1000" s="72"/>
      <c r="I1000" s="71"/>
      <c r="L1000" s="55" t="str">
        <f t="shared" ca="1" si="31"/>
        <v>NE</v>
      </c>
    </row>
    <row r="1001" spans="1:12" ht="27" thickBot="1">
      <c r="A1001" s="72"/>
      <c r="B1001" s="74"/>
      <c r="C1001" s="71"/>
      <c r="D1001" s="71"/>
      <c r="E1001" s="72"/>
      <c r="F1001" s="70"/>
      <c r="G1001" s="72" t="str">
        <f t="shared" ca="1" si="30"/>
        <v/>
      </c>
      <c r="H1001" s="72"/>
      <c r="I1001" s="71"/>
      <c r="L1001" s="55" t="str">
        <f t="shared" ca="1" si="31"/>
        <v>NE</v>
      </c>
    </row>
    <row r="1002" spans="1:12" ht="27" thickBot="1">
      <c r="A1002" s="72"/>
      <c r="B1002" s="74"/>
      <c r="C1002" s="71"/>
      <c r="D1002" s="71"/>
      <c r="E1002" s="72"/>
      <c r="F1002" s="70"/>
      <c r="G1002" s="72" t="str">
        <f t="shared" ca="1" si="30"/>
        <v/>
      </c>
      <c r="H1002" s="72"/>
      <c r="I1002" s="71"/>
      <c r="L1002" s="55" t="str">
        <f t="shared" ca="1" si="31"/>
        <v>NE</v>
      </c>
    </row>
    <row r="1003" spans="1:12" ht="27" thickBot="1">
      <c r="A1003" s="72"/>
      <c r="B1003" s="74"/>
      <c r="C1003" s="71"/>
      <c r="D1003" s="71"/>
      <c r="E1003" s="72"/>
      <c r="F1003" s="70"/>
      <c r="G1003" s="72" t="str">
        <f t="shared" ca="1" si="30"/>
        <v/>
      </c>
      <c r="H1003" s="72"/>
      <c r="I1003" s="71"/>
      <c r="L1003" s="55" t="str">
        <f t="shared" ca="1" si="31"/>
        <v>NE</v>
      </c>
    </row>
    <row r="1004" spans="1:12" ht="27" thickBot="1">
      <c r="A1004" s="72"/>
      <c r="B1004" s="74"/>
      <c r="C1004" s="71"/>
      <c r="D1004" s="71"/>
      <c r="E1004" s="72"/>
      <c r="F1004" s="70"/>
      <c r="G1004" s="72" t="str">
        <f t="shared" ca="1" si="30"/>
        <v/>
      </c>
      <c r="H1004" s="72"/>
      <c r="I1004" s="71"/>
      <c r="L1004" s="55" t="str">
        <f t="shared" ca="1" si="31"/>
        <v>NE</v>
      </c>
    </row>
    <row r="1005" spans="1:12" ht="27" thickBot="1">
      <c r="A1005" s="72"/>
      <c r="B1005" s="74"/>
      <c r="C1005" s="71"/>
      <c r="D1005" s="71"/>
      <c r="E1005" s="72"/>
      <c r="F1005" s="70"/>
      <c r="G1005" s="72" t="str">
        <f t="shared" ca="1" si="30"/>
        <v/>
      </c>
      <c r="H1005" s="72"/>
      <c r="I1005" s="71"/>
      <c r="L1005" s="55" t="str">
        <f t="shared" ca="1" si="31"/>
        <v>NE</v>
      </c>
    </row>
    <row r="1006" spans="1:12" ht="27" thickBot="1">
      <c r="A1006" s="72"/>
      <c r="B1006" s="74"/>
      <c r="C1006" s="71"/>
      <c r="D1006" s="71"/>
      <c r="E1006" s="72"/>
      <c r="F1006" s="70"/>
      <c r="G1006" s="72" t="str">
        <f t="shared" ref="G1006:G1069" ca="1" si="32">IF(ISBLANK(F1006),"",IF(F1006&gt;=TODAY(), "Non Echue", "Echue"))</f>
        <v/>
      </c>
      <c r="H1006" s="72"/>
      <c r="I1006" s="71"/>
      <c r="L1006" s="55" t="str">
        <f t="shared" ref="L1006:L1069" ca="1" si="33" xml:space="preserve"> IF(G1006 = "Echue",IF(H1006 = "Appliqué","EAP","NAP"),"NE")</f>
        <v>NE</v>
      </c>
    </row>
    <row r="1007" spans="1:12" ht="27" thickBot="1">
      <c r="A1007" s="72"/>
      <c r="B1007" s="74"/>
      <c r="C1007" s="71"/>
      <c r="D1007" s="71"/>
      <c r="E1007" s="72"/>
      <c r="F1007" s="70"/>
      <c r="G1007" s="72" t="str">
        <f t="shared" ca="1" si="32"/>
        <v/>
      </c>
      <c r="H1007" s="72"/>
      <c r="I1007" s="71"/>
      <c r="L1007" s="55" t="str">
        <f t="shared" ca="1" si="33"/>
        <v>NE</v>
      </c>
    </row>
    <row r="1008" spans="1:12" ht="27" thickBot="1">
      <c r="A1008" s="72"/>
      <c r="B1008" s="74"/>
      <c r="C1008" s="71"/>
      <c r="D1008" s="71"/>
      <c r="E1008" s="72"/>
      <c r="F1008" s="70"/>
      <c r="G1008" s="72" t="str">
        <f t="shared" ca="1" si="32"/>
        <v/>
      </c>
      <c r="H1008" s="72"/>
      <c r="I1008" s="71"/>
      <c r="L1008" s="55" t="str">
        <f t="shared" ca="1" si="33"/>
        <v>NE</v>
      </c>
    </row>
    <row r="1009" spans="1:12" ht="27" thickBot="1">
      <c r="A1009" s="72"/>
      <c r="B1009" s="74"/>
      <c r="C1009" s="71"/>
      <c r="D1009" s="71"/>
      <c r="E1009" s="72"/>
      <c r="F1009" s="70"/>
      <c r="G1009" s="72" t="str">
        <f t="shared" ca="1" si="32"/>
        <v/>
      </c>
      <c r="H1009" s="72"/>
      <c r="I1009" s="71"/>
      <c r="L1009" s="55" t="str">
        <f t="shared" ca="1" si="33"/>
        <v>NE</v>
      </c>
    </row>
    <row r="1010" spans="1:12" ht="27" thickBot="1">
      <c r="A1010" s="72"/>
      <c r="B1010" s="74"/>
      <c r="C1010" s="71"/>
      <c r="D1010" s="71"/>
      <c r="E1010" s="72"/>
      <c r="F1010" s="70"/>
      <c r="G1010" s="72" t="str">
        <f t="shared" ca="1" si="32"/>
        <v/>
      </c>
      <c r="H1010" s="72"/>
      <c r="I1010" s="71"/>
      <c r="L1010" s="55" t="str">
        <f t="shared" ca="1" si="33"/>
        <v>NE</v>
      </c>
    </row>
    <row r="1011" spans="1:12" ht="27" thickBot="1">
      <c r="A1011" s="72"/>
      <c r="B1011" s="74"/>
      <c r="C1011" s="71"/>
      <c r="D1011" s="71"/>
      <c r="E1011" s="72"/>
      <c r="F1011" s="70"/>
      <c r="G1011" s="72" t="str">
        <f t="shared" ca="1" si="32"/>
        <v/>
      </c>
      <c r="H1011" s="72"/>
      <c r="I1011" s="71"/>
      <c r="L1011" s="55" t="str">
        <f t="shared" ca="1" si="33"/>
        <v>NE</v>
      </c>
    </row>
    <row r="1012" spans="1:12" ht="27" thickBot="1">
      <c r="A1012" s="72"/>
      <c r="B1012" s="74"/>
      <c r="C1012" s="71"/>
      <c r="D1012" s="71"/>
      <c r="E1012" s="72"/>
      <c r="F1012" s="70"/>
      <c r="G1012" s="72" t="str">
        <f t="shared" ca="1" si="32"/>
        <v/>
      </c>
      <c r="H1012" s="72"/>
      <c r="I1012" s="71"/>
      <c r="L1012" s="55" t="str">
        <f t="shared" ca="1" si="33"/>
        <v>NE</v>
      </c>
    </row>
    <row r="1013" spans="1:12" ht="27" thickBot="1">
      <c r="A1013" s="72"/>
      <c r="B1013" s="74"/>
      <c r="C1013" s="71"/>
      <c r="D1013" s="71"/>
      <c r="E1013" s="72"/>
      <c r="F1013" s="70"/>
      <c r="G1013" s="72" t="str">
        <f t="shared" ca="1" si="32"/>
        <v/>
      </c>
      <c r="H1013" s="72"/>
      <c r="I1013" s="71"/>
      <c r="L1013" s="55" t="str">
        <f t="shared" ca="1" si="33"/>
        <v>NE</v>
      </c>
    </row>
    <row r="1014" spans="1:12" ht="27" thickBot="1">
      <c r="A1014" s="72"/>
      <c r="B1014" s="74"/>
      <c r="C1014" s="71"/>
      <c r="D1014" s="71"/>
      <c r="E1014" s="72"/>
      <c r="F1014" s="70"/>
      <c r="G1014" s="72" t="str">
        <f t="shared" ca="1" si="32"/>
        <v/>
      </c>
      <c r="H1014" s="72"/>
      <c r="I1014" s="71"/>
      <c r="L1014" s="55" t="str">
        <f t="shared" ca="1" si="33"/>
        <v>NE</v>
      </c>
    </row>
    <row r="1015" spans="1:12" ht="27" thickBot="1">
      <c r="A1015" s="72"/>
      <c r="B1015" s="74"/>
      <c r="C1015" s="71"/>
      <c r="D1015" s="71"/>
      <c r="E1015" s="72"/>
      <c r="F1015" s="70"/>
      <c r="G1015" s="72" t="str">
        <f t="shared" ca="1" si="32"/>
        <v/>
      </c>
      <c r="H1015" s="72"/>
      <c r="I1015" s="71"/>
      <c r="L1015" s="55" t="str">
        <f t="shared" ca="1" si="33"/>
        <v>NE</v>
      </c>
    </row>
    <row r="1016" spans="1:12" ht="27" thickBot="1">
      <c r="A1016" s="72"/>
      <c r="B1016" s="74"/>
      <c r="C1016" s="71"/>
      <c r="D1016" s="71"/>
      <c r="E1016" s="72"/>
      <c r="F1016" s="70"/>
      <c r="G1016" s="72" t="str">
        <f t="shared" ca="1" si="32"/>
        <v/>
      </c>
      <c r="H1016" s="72"/>
      <c r="I1016" s="71"/>
      <c r="L1016" s="55" t="str">
        <f t="shared" ca="1" si="33"/>
        <v>NE</v>
      </c>
    </row>
    <row r="1017" spans="1:12" ht="27" thickBot="1">
      <c r="A1017" s="72"/>
      <c r="B1017" s="74"/>
      <c r="C1017" s="71"/>
      <c r="D1017" s="71"/>
      <c r="E1017" s="72"/>
      <c r="F1017" s="70"/>
      <c r="G1017" s="72" t="str">
        <f t="shared" ca="1" si="32"/>
        <v/>
      </c>
      <c r="H1017" s="72"/>
      <c r="I1017" s="71"/>
      <c r="L1017" s="55" t="str">
        <f t="shared" ca="1" si="33"/>
        <v>NE</v>
      </c>
    </row>
    <row r="1018" spans="1:12" ht="27" thickBot="1">
      <c r="A1018" s="72"/>
      <c r="B1018" s="74"/>
      <c r="C1018" s="71"/>
      <c r="D1018" s="71"/>
      <c r="E1018" s="72"/>
      <c r="F1018" s="70"/>
      <c r="G1018" s="72" t="str">
        <f t="shared" ca="1" si="32"/>
        <v/>
      </c>
      <c r="H1018" s="72"/>
      <c r="I1018" s="71"/>
      <c r="L1018" s="55" t="str">
        <f t="shared" ca="1" si="33"/>
        <v>NE</v>
      </c>
    </row>
    <row r="1019" spans="1:12" ht="27" thickBot="1">
      <c r="A1019" s="72"/>
      <c r="B1019" s="74"/>
      <c r="C1019" s="71"/>
      <c r="D1019" s="71"/>
      <c r="E1019" s="72"/>
      <c r="F1019" s="70"/>
      <c r="G1019" s="72" t="str">
        <f t="shared" ca="1" si="32"/>
        <v/>
      </c>
      <c r="H1019" s="72"/>
      <c r="I1019" s="71"/>
      <c r="L1019" s="55" t="str">
        <f t="shared" ca="1" si="33"/>
        <v>NE</v>
      </c>
    </row>
    <row r="1020" spans="1:12" ht="27" thickBot="1">
      <c r="A1020" s="72"/>
      <c r="B1020" s="74"/>
      <c r="C1020" s="71"/>
      <c r="D1020" s="71"/>
      <c r="E1020" s="72"/>
      <c r="F1020" s="70"/>
      <c r="G1020" s="72" t="str">
        <f t="shared" ca="1" si="32"/>
        <v/>
      </c>
      <c r="H1020" s="72"/>
      <c r="I1020" s="71"/>
      <c r="L1020" s="55" t="str">
        <f t="shared" ca="1" si="33"/>
        <v>NE</v>
      </c>
    </row>
    <row r="1021" spans="1:12" ht="27" thickBot="1">
      <c r="A1021" s="72"/>
      <c r="B1021" s="74"/>
      <c r="C1021" s="71"/>
      <c r="D1021" s="71"/>
      <c r="E1021" s="72"/>
      <c r="F1021" s="70"/>
      <c r="G1021" s="72" t="str">
        <f t="shared" ca="1" si="32"/>
        <v/>
      </c>
      <c r="H1021" s="72"/>
      <c r="I1021" s="71"/>
      <c r="L1021" s="55" t="str">
        <f t="shared" ca="1" si="33"/>
        <v>NE</v>
      </c>
    </row>
    <row r="1022" spans="1:12" ht="27" thickBot="1">
      <c r="A1022" s="72"/>
      <c r="B1022" s="74"/>
      <c r="C1022" s="71"/>
      <c r="D1022" s="71"/>
      <c r="E1022" s="72"/>
      <c r="F1022" s="70"/>
      <c r="G1022" s="72" t="str">
        <f t="shared" ca="1" si="32"/>
        <v/>
      </c>
      <c r="H1022" s="72"/>
      <c r="I1022" s="71"/>
      <c r="L1022" s="55" t="str">
        <f t="shared" ca="1" si="33"/>
        <v>NE</v>
      </c>
    </row>
    <row r="1023" spans="1:12" ht="27" thickBot="1">
      <c r="A1023" s="72"/>
      <c r="B1023" s="74"/>
      <c r="C1023" s="71"/>
      <c r="D1023" s="71"/>
      <c r="E1023" s="72"/>
      <c r="F1023" s="70"/>
      <c r="G1023" s="72" t="str">
        <f t="shared" ca="1" si="32"/>
        <v/>
      </c>
      <c r="H1023" s="72"/>
      <c r="I1023" s="71"/>
      <c r="L1023" s="55" t="str">
        <f t="shared" ca="1" si="33"/>
        <v>NE</v>
      </c>
    </row>
    <row r="1024" spans="1:12" ht="27" thickBot="1">
      <c r="A1024" s="72"/>
      <c r="B1024" s="74"/>
      <c r="C1024" s="71"/>
      <c r="D1024" s="71"/>
      <c r="E1024" s="72"/>
      <c r="F1024" s="70"/>
      <c r="G1024" s="72" t="str">
        <f t="shared" ca="1" si="32"/>
        <v/>
      </c>
      <c r="H1024" s="72"/>
      <c r="I1024" s="71"/>
      <c r="L1024" s="55" t="str">
        <f t="shared" ca="1" si="33"/>
        <v>NE</v>
      </c>
    </row>
    <row r="1025" spans="1:12" ht="27" thickBot="1">
      <c r="A1025" s="72"/>
      <c r="B1025" s="74"/>
      <c r="C1025" s="71"/>
      <c r="D1025" s="71"/>
      <c r="E1025" s="72"/>
      <c r="F1025" s="70"/>
      <c r="G1025" s="72" t="str">
        <f t="shared" ca="1" si="32"/>
        <v/>
      </c>
      <c r="H1025" s="72"/>
      <c r="I1025" s="71"/>
      <c r="L1025" s="55" t="str">
        <f t="shared" ca="1" si="33"/>
        <v>NE</v>
      </c>
    </row>
    <row r="1026" spans="1:12" ht="27" thickBot="1">
      <c r="A1026" s="72"/>
      <c r="B1026" s="74"/>
      <c r="C1026" s="71"/>
      <c r="D1026" s="71"/>
      <c r="E1026" s="72"/>
      <c r="F1026" s="70"/>
      <c r="G1026" s="72" t="str">
        <f t="shared" ca="1" si="32"/>
        <v/>
      </c>
      <c r="H1026" s="72"/>
      <c r="I1026" s="71"/>
      <c r="L1026" s="55" t="str">
        <f t="shared" ca="1" si="33"/>
        <v>NE</v>
      </c>
    </row>
    <row r="1027" spans="1:12" ht="27" thickBot="1">
      <c r="A1027" s="72"/>
      <c r="B1027" s="74"/>
      <c r="C1027" s="71"/>
      <c r="D1027" s="71"/>
      <c r="E1027" s="72"/>
      <c r="F1027" s="70"/>
      <c r="G1027" s="72" t="str">
        <f t="shared" ca="1" si="32"/>
        <v/>
      </c>
      <c r="H1027" s="72"/>
      <c r="I1027" s="71"/>
      <c r="L1027" s="55" t="str">
        <f t="shared" ca="1" si="33"/>
        <v>NE</v>
      </c>
    </row>
    <row r="1028" spans="1:12" ht="27" thickBot="1">
      <c r="A1028" s="72"/>
      <c r="B1028" s="74"/>
      <c r="C1028" s="71"/>
      <c r="D1028" s="71"/>
      <c r="E1028" s="72"/>
      <c r="F1028" s="70"/>
      <c r="G1028" s="72" t="str">
        <f t="shared" ca="1" si="32"/>
        <v/>
      </c>
      <c r="H1028" s="72"/>
      <c r="I1028" s="71"/>
      <c r="L1028" s="55" t="str">
        <f t="shared" ca="1" si="33"/>
        <v>NE</v>
      </c>
    </row>
    <row r="1029" spans="1:12" ht="27" thickBot="1">
      <c r="A1029" s="72"/>
      <c r="B1029" s="74"/>
      <c r="C1029" s="71"/>
      <c r="D1029" s="71"/>
      <c r="E1029" s="72"/>
      <c r="F1029" s="70"/>
      <c r="G1029" s="72" t="str">
        <f t="shared" ca="1" si="32"/>
        <v/>
      </c>
      <c r="H1029" s="72"/>
      <c r="I1029" s="71"/>
      <c r="L1029" s="55" t="str">
        <f t="shared" ca="1" si="33"/>
        <v>NE</v>
      </c>
    </row>
    <row r="1030" spans="1:12" ht="27" thickBot="1">
      <c r="A1030" s="72"/>
      <c r="B1030" s="74"/>
      <c r="C1030" s="71"/>
      <c r="D1030" s="71"/>
      <c r="E1030" s="72"/>
      <c r="F1030" s="70"/>
      <c r="G1030" s="72" t="str">
        <f t="shared" ca="1" si="32"/>
        <v/>
      </c>
      <c r="H1030" s="72"/>
      <c r="I1030" s="71"/>
      <c r="L1030" s="55" t="str">
        <f t="shared" ca="1" si="33"/>
        <v>NE</v>
      </c>
    </row>
    <row r="1031" spans="1:12" ht="27" thickBot="1">
      <c r="A1031" s="72"/>
      <c r="B1031" s="74"/>
      <c r="C1031" s="71"/>
      <c r="D1031" s="71"/>
      <c r="E1031" s="72"/>
      <c r="F1031" s="70"/>
      <c r="G1031" s="72" t="str">
        <f t="shared" ca="1" si="32"/>
        <v/>
      </c>
      <c r="H1031" s="72"/>
      <c r="I1031" s="71"/>
      <c r="L1031" s="55" t="str">
        <f t="shared" ca="1" si="33"/>
        <v>NE</v>
      </c>
    </row>
    <row r="1032" spans="1:12" ht="27" thickBot="1">
      <c r="A1032" s="72"/>
      <c r="B1032" s="74"/>
      <c r="C1032" s="71"/>
      <c r="D1032" s="71"/>
      <c r="E1032" s="72"/>
      <c r="F1032" s="70"/>
      <c r="G1032" s="72" t="str">
        <f t="shared" ca="1" si="32"/>
        <v/>
      </c>
      <c r="H1032" s="72"/>
      <c r="I1032" s="71"/>
      <c r="L1032" s="55" t="str">
        <f t="shared" ca="1" si="33"/>
        <v>NE</v>
      </c>
    </row>
    <row r="1033" spans="1:12" ht="27" thickBot="1">
      <c r="A1033" s="72"/>
      <c r="B1033" s="74"/>
      <c r="C1033" s="71"/>
      <c r="D1033" s="71"/>
      <c r="E1033" s="72"/>
      <c r="F1033" s="70"/>
      <c r="G1033" s="72" t="str">
        <f t="shared" ca="1" si="32"/>
        <v/>
      </c>
      <c r="H1033" s="72"/>
      <c r="I1033" s="71"/>
      <c r="L1033" s="55" t="str">
        <f t="shared" ca="1" si="33"/>
        <v>NE</v>
      </c>
    </row>
    <row r="1034" spans="1:12" ht="27" thickBot="1">
      <c r="A1034" s="72"/>
      <c r="B1034" s="74"/>
      <c r="C1034" s="71"/>
      <c r="D1034" s="71"/>
      <c r="E1034" s="72"/>
      <c r="F1034" s="70"/>
      <c r="G1034" s="72" t="str">
        <f t="shared" ca="1" si="32"/>
        <v/>
      </c>
      <c r="H1034" s="72"/>
      <c r="I1034" s="71"/>
      <c r="L1034" s="55" t="str">
        <f t="shared" ca="1" si="33"/>
        <v>NE</v>
      </c>
    </row>
    <row r="1035" spans="1:12" ht="27" thickBot="1">
      <c r="A1035" s="72"/>
      <c r="B1035" s="74"/>
      <c r="C1035" s="71"/>
      <c r="D1035" s="71"/>
      <c r="E1035" s="72"/>
      <c r="F1035" s="70"/>
      <c r="G1035" s="72" t="str">
        <f t="shared" ca="1" si="32"/>
        <v/>
      </c>
      <c r="H1035" s="72"/>
      <c r="I1035" s="71"/>
      <c r="L1035" s="55" t="str">
        <f t="shared" ca="1" si="33"/>
        <v>NE</v>
      </c>
    </row>
    <row r="1036" spans="1:12" ht="27" thickBot="1">
      <c r="A1036" s="72"/>
      <c r="B1036" s="74"/>
      <c r="C1036" s="71"/>
      <c r="D1036" s="71"/>
      <c r="E1036" s="72"/>
      <c r="F1036" s="70"/>
      <c r="G1036" s="72" t="str">
        <f t="shared" ca="1" si="32"/>
        <v/>
      </c>
      <c r="H1036" s="72"/>
      <c r="I1036" s="71"/>
      <c r="L1036" s="55" t="str">
        <f t="shared" ca="1" si="33"/>
        <v>NE</v>
      </c>
    </row>
    <row r="1037" spans="1:12" ht="27" thickBot="1">
      <c r="A1037" s="72"/>
      <c r="B1037" s="74"/>
      <c r="C1037" s="71"/>
      <c r="D1037" s="71"/>
      <c r="E1037" s="72"/>
      <c r="F1037" s="70"/>
      <c r="G1037" s="72" t="str">
        <f t="shared" ca="1" si="32"/>
        <v/>
      </c>
      <c r="H1037" s="72"/>
      <c r="I1037" s="71"/>
      <c r="L1037" s="55" t="str">
        <f t="shared" ca="1" si="33"/>
        <v>NE</v>
      </c>
    </row>
    <row r="1038" spans="1:12" ht="27" thickBot="1">
      <c r="A1038" s="72"/>
      <c r="B1038" s="74"/>
      <c r="C1038" s="71"/>
      <c r="D1038" s="71"/>
      <c r="E1038" s="72"/>
      <c r="F1038" s="70"/>
      <c r="G1038" s="72" t="str">
        <f t="shared" ca="1" si="32"/>
        <v/>
      </c>
      <c r="H1038" s="72"/>
      <c r="I1038" s="71"/>
      <c r="L1038" s="55" t="str">
        <f t="shared" ca="1" si="33"/>
        <v>NE</v>
      </c>
    </row>
    <row r="1039" spans="1:12" ht="27" thickBot="1">
      <c r="A1039" s="72"/>
      <c r="B1039" s="74"/>
      <c r="C1039" s="71"/>
      <c r="D1039" s="71"/>
      <c r="E1039" s="72"/>
      <c r="F1039" s="70"/>
      <c r="G1039" s="72" t="str">
        <f t="shared" ca="1" si="32"/>
        <v/>
      </c>
      <c r="H1039" s="72"/>
      <c r="I1039" s="71"/>
      <c r="L1039" s="55" t="str">
        <f t="shared" ca="1" si="33"/>
        <v>NE</v>
      </c>
    </row>
    <row r="1040" spans="1:12" ht="27" thickBot="1">
      <c r="A1040" s="72"/>
      <c r="B1040" s="74"/>
      <c r="C1040" s="71"/>
      <c r="D1040" s="71"/>
      <c r="E1040" s="72"/>
      <c r="F1040" s="70"/>
      <c r="G1040" s="72" t="str">
        <f t="shared" ca="1" si="32"/>
        <v/>
      </c>
      <c r="H1040" s="72"/>
      <c r="I1040" s="71"/>
      <c r="L1040" s="55" t="str">
        <f t="shared" ca="1" si="33"/>
        <v>NE</v>
      </c>
    </row>
    <row r="1041" spans="1:12" ht="27" thickBot="1">
      <c r="A1041" s="72"/>
      <c r="B1041" s="74"/>
      <c r="C1041" s="71"/>
      <c r="D1041" s="71"/>
      <c r="E1041" s="72"/>
      <c r="F1041" s="70"/>
      <c r="G1041" s="72" t="str">
        <f t="shared" ca="1" si="32"/>
        <v/>
      </c>
      <c r="H1041" s="72"/>
      <c r="I1041" s="71"/>
      <c r="L1041" s="55" t="str">
        <f t="shared" ca="1" si="33"/>
        <v>NE</v>
      </c>
    </row>
    <row r="1042" spans="1:12" ht="27" thickBot="1">
      <c r="A1042" s="72"/>
      <c r="B1042" s="74"/>
      <c r="C1042" s="71"/>
      <c r="D1042" s="71"/>
      <c r="E1042" s="72"/>
      <c r="F1042" s="70"/>
      <c r="G1042" s="72" t="str">
        <f t="shared" ca="1" si="32"/>
        <v/>
      </c>
      <c r="H1042" s="72"/>
      <c r="I1042" s="71"/>
      <c r="L1042" s="55" t="str">
        <f t="shared" ca="1" si="33"/>
        <v>NE</v>
      </c>
    </row>
    <row r="1043" spans="1:12" ht="27" thickBot="1">
      <c r="A1043" s="72"/>
      <c r="B1043" s="74"/>
      <c r="C1043" s="71"/>
      <c r="D1043" s="71"/>
      <c r="E1043" s="72"/>
      <c r="F1043" s="70"/>
      <c r="G1043" s="72" t="str">
        <f t="shared" ca="1" si="32"/>
        <v/>
      </c>
      <c r="H1043" s="72"/>
      <c r="I1043" s="71"/>
      <c r="L1043" s="55" t="str">
        <f t="shared" ca="1" si="33"/>
        <v>NE</v>
      </c>
    </row>
    <row r="1044" spans="1:12" ht="27" thickBot="1">
      <c r="A1044" s="72"/>
      <c r="B1044" s="74"/>
      <c r="C1044" s="71"/>
      <c r="D1044" s="71"/>
      <c r="E1044" s="72"/>
      <c r="F1044" s="70"/>
      <c r="G1044" s="72" t="str">
        <f t="shared" ca="1" si="32"/>
        <v/>
      </c>
      <c r="H1044" s="72"/>
      <c r="I1044" s="71"/>
      <c r="L1044" s="55" t="str">
        <f t="shared" ca="1" si="33"/>
        <v>NE</v>
      </c>
    </row>
    <row r="1045" spans="1:12" ht="27" thickBot="1">
      <c r="A1045" s="72"/>
      <c r="B1045" s="74"/>
      <c r="C1045" s="71"/>
      <c r="D1045" s="71"/>
      <c r="E1045" s="72"/>
      <c r="F1045" s="70"/>
      <c r="G1045" s="72" t="str">
        <f t="shared" ca="1" si="32"/>
        <v/>
      </c>
      <c r="H1045" s="72"/>
      <c r="I1045" s="71"/>
      <c r="L1045" s="55" t="str">
        <f t="shared" ca="1" si="33"/>
        <v>NE</v>
      </c>
    </row>
    <row r="1046" spans="1:12" ht="27" thickBot="1">
      <c r="A1046" s="72"/>
      <c r="B1046" s="74"/>
      <c r="C1046" s="71"/>
      <c r="D1046" s="71"/>
      <c r="E1046" s="72"/>
      <c r="F1046" s="70"/>
      <c r="G1046" s="72" t="str">
        <f t="shared" ca="1" si="32"/>
        <v/>
      </c>
      <c r="H1046" s="72"/>
      <c r="I1046" s="71"/>
      <c r="L1046" s="55" t="str">
        <f t="shared" ca="1" si="33"/>
        <v>NE</v>
      </c>
    </row>
    <row r="1047" spans="1:12" ht="27" thickBot="1">
      <c r="A1047" s="72"/>
      <c r="B1047" s="74"/>
      <c r="C1047" s="71"/>
      <c r="D1047" s="71"/>
      <c r="E1047" s="72"/>
      <c r="F1047" s="70"/>
      <c r="G1047" s="72" t="str">
        <f t="shared" ca="1" si="32"/>
        <v/>
      </c>
      <c r="H1047" s="72"/>
      <c r="I1047" s="71"/>
      <c r="L1047" s="55" t="str">
        <f t="shared" ca="1" si="33"/>
        <v>NE</v>
      </c>
    </row>
    <row r="1048" spans="1:12" ht="27" thickBot="1">
      <c r="A1048" s="72"/>
      <c r="B1048" s="74"/>
      <c r="C1048" s="71"/>
      <c r="D1048" s="71"/>
      <c r="E1048" s="72"/>
      <c r="F1048" s="70"/>
      <c r="G1048" s="72" t="str">
        <f t="shared" ca="1" si="32"/>
        <v/>
      </c>
      <c r="H1048" s="72"/>
      <c r="I1048" s="71"/>
      <c r="L1048" s="55" t="str">
        <f t="shared" ca="1" si="33"/>
        <v>NE</v>
      </c>
    </row>
    <row r="1049" spans="1:12" ht="27" thickBot="1">
      <c r="A1049" s="72"/>
      <c r="B1049" s="74"/>
      <c r="C1049" s="71"/>
      <c r="D1049" s="71"/>
      <c r="E1049" s="72"/>
      <c r="F1049" s="70"/>
      <c r="G1049" s="72" t="str">
        <f t="shared" ca="1" si="32"/>
        <v/>
      </c>
      <c r="H1049" s="72"/>
      <c r="I1049" s="71"/>
      <c r="L1049" s="55" t="str">
        <f t="shared" ca="1" si="33"/>
        <v>NE</v>
      </c>
    </row>
    <row r="1050" spans="1:12" ht="27" thickBot="1">
      <c r="A1050" s="72"/>
      <c r="B1050" s="74"/>
      <c r="C1050" s="71"/>
      <c r="D1050" s="71"/>
      <c r="E1050" s="72"/>
      <c r="F1050" s="70"/>
      <c r="G1050" s="72" t="str">
        <f t="shared" ca="1" si="32"/>
        <v/>
      </c>
      <c r="H1050" s="72"/>
      <c r="I1050" s="71"/>
      <c r="L1050" s="55" t="str">
        <f t="shared" ca="1" si="33"/>
        <v>NE</v>
      </c>
    </row>
    <row r="1051" spans="1:12" ht="27" thickBot="1">
      <c r="A1051" s="72"/>
      <c r="B1051" s="74"/>
      <c r="C1051" s="71"/>
      <c r="D1051" s="71"/>
      <c r="E1051" s="72"/>
      <c r="F1051" s="70"/>
      <c r="G1051" s="72" t="str">
        <f t="shared" ca="1" si="32"/>
        <v/>
      </c>
      <c r="H1051" s="72"/>
      <c r="I1051" s="71"/>
      <c r="L1051" s="55" t="str">
        <f t="shared" ca="1" si="33"/>
        <v>NE</v>
      </c>
    </row>
    <row r="1052" spans="1:12" ht="27" thickBot="1">
      <c r="A1052" s="72"/>
      <c r="B1052" s="74"/>
      <c r="C1052" s="71"/>
      <c r="D1052" s="71"/>
      <c r="E1052" s="72"/>
      <c r="F1052" s="70"/>
      <c r="G1052" s="72" t="str">
        <f t="shared" ca="1" si="32"/>
        <v/>
      </c>
      <c r="H1052" s="72"/>
      <c r="I1052" s="71"/>
      <c r="L1052" s="55" t="str">
        <f t="shared" ca="1" si="33"/>
        <v>NE</v>
      </c>
    </row>
    <row r="1053" spans="1:12" ht="27" thickBot="1">
      <c r="A1053" s="72"/>
      <c r="B1053" s="74"/>
      <c r="C1053" s="71"/>
      <c r="D1053" s="71"/>
      <c r="E1053" s="72"/>
      <c r="F1053" s="70"/>
      <c r="G1053" s="72" t="str">
        <f t="shared" ca="1" si="32"/>
        <v/>
      </c>
      <c r="H1053" s="72"/>
      <c r="I1053" s="71"/>
      <c r="L1053" s="55" t="str">
        <f t="shared" ca="1" si="33"/>
        <v>NE</v>
      </c>
    </row>
    <row r="1054" spans="1:12" ht="27" thickBot="1">
      <c r="A1054" s="72"/>
      <c r="B1054" s="74"/>
      <c r="C1054" s="71"/>
      <c r="D1054" s="71"/>
      <c r="E1054" s="72"/>
      <c r="F1054" s="70"/>
      <c r="G1054" s="72" t="str">
        <f t="shared" ca="1" si="32"/>
        <v/>
      </c>
      <c r="H1054" s="72"/>
      <c r="I1054" s="71"/>
      <c r="L1054" s="55" t="str">
        <f t="shared" ca="1" si="33"/>
        <v>NE</v>
      </c>
    </row>
    <row r="1055" spans="1:12" ht="27" thickBot="1">
      <c r="A1055" s="72"/>
      <c r="B1055" s="74"/>
      <c r="C1055" s="71"/>
      <c r="D1055" s="71"/>
      <c r="E1055" s="72"/>
      <c r="F1055" s="70"/>
      <c r="G1055" s="72" t="str">
        <f t="shared" ca="1" si="32"/>
        <v/>
      </c>
      <c r="H1055" s="72"/>
      <c r="I1055" s="71"/>
      <c r="L1055" s="55" t="str">
        <f t="shared" ca="1" si="33"/>
        <v>NE</v>
      </c>
    </row>
    <row r="1056" spans="1:12" ht="27" thickBot="1">
      <c r="A1056" s="72"/>
      <c r="B1056" s="74"/>
      <c r="C1056" s="71"/>
      <c r="D1056" s="71"/>
      <c r="E1056" s="72"/>
      <c r="F1056" s="70"/>
      <c r="G1056" s="72" t="str">
        <f t="shared" ca="1" si="32"/>
        <v/>
      </c>
      <c r="H1056" s="72"/>
      <c r="I1056" s="71"/>
      <c r="L1056" s="55" t="str">
        <f t="shared" ca="1" si="33"/>
        <v>NE</v>
      </c>
    </row>
    <row r="1057" spans="1:12" ht="27" thickBot="1">
      <c r="A1057" s="72"/>
      <c r="B1057" s="74"/>
      <c r="C1057" s="71"/>
      <c r="D1057" s="71"/>
      <c r="E1057" s="72"/>
      <c r="F1057" s="70"/>
      <c r="G1057" s="72" t="str">
        <f t="shared" ca="1" si="32"/>
        <v/>
      </c>
      <c r="H1057" s="72"/>
      <c r="I1057" s="71"/>
      <c r="L1057" s="55" t="str">
        <f t="shared" ca="1" si="33"/>
        <v>NE</v>
      </c>
    </row>
    <row r="1058" spans="1:12" ht="27" thickBot="1">
      <c r="A1058" s="72"/>
      <c r="B1058" s="74"/>
      <c r="C1058" s="71"/>
      <c r="D1058" s="71"/>
      <c r="E1058" s="72"/>
      <c r="F1058" s="70"/>
      <c r="G1058" s="72" t="str">
        <f t="shared" ca="1" si="32"/>
        <v/>
      </c>
      <c r="H1058" s="72"/>
      <c r="I1058" s="71"/>
      <c r="L1058" s="55" t="str">
        <f t="shared" ca="1" si="33"/>
        <v>NE</v>
      </c>
    </row>
    <row r="1059" spans="1:12" ht="27" thickBot="1">
      <c r="A1059" s="72"/>
      <c r="B1059" s="74"/>
      <c r="C1059" s="71"/>
      <c r="D1059" s="71"/>
      <c r="E1059" s="72"/>
      <c r="F1059" s="70"/>
      <c r="G1059" s="72" t="str">
        <f t="shared" ca="1" si="32"/>
        <v/>
      </c>
      <c r="H1059" s="72"/>
      <c r="I1059" s="71"/>
      <c r="L1059" s="55" t="str">
        <f t="shared" ca="1" si="33"/>
        <v>NE</v>
      </c>
    </row>
    <row r="1060" spans="1:12" ht="27" thickBot="1">
      <c r="A1060" s="72"/>
      <c r="B1060" s="74"/>
      <c r="C1060" s="71"/>
      <c r="D1060" s="71"/>
      <c r="E1060" s="72"/>
      <c r="F1060" s="70"/>
      <c r="G1060" s="72" t="str">
        <f t="shared" ca="1" si="32"/>
        <v/>
      </c>
      <c r="H1060" s="72"/>
      <c r="I1060" s="71"/>
      <c r="L1060" s="55" t="str">
        <f t="shared" ca="1" si="33"/>
        <v>NE</v>
      </c>
    </row>
    <row r="1061" spans="1:12" ht="27" thickBot="1">
      <c r="A1061" s="72"/>
      <c r="B1061" s="74"/>
      <c r="C1061" s="71"/>
      <c r="D1061" s="71"/>
      <c r="E1061" s="72"/>
      <c r="F1061" s="70"/>
      <c r="G1061" s="72" t="str">
        <f t="shared" ca="1" si="32"/>
        <v/>
      </c>
      <c r="H1061" s="72"/>
      <c r="I1061" s="71"/>
      <c r="L1061" s="55" t="str">
        <f t="shared" ca="1" si="33"/>
        <v>NE</v>
      </c>
    </row>
    <row r="1062" spans="1:12" ht="27" thickBot="1">
      <c r="A1062" s="72"/>
      <c r="B1062" s="74"/>
      <c r="C1062" s="71"/>
      <c r="D1062" s="71"/>
      <c r="E1062" s="72"/>
      <c r="F1062" s="70"/>
      <c r="G1062" s="72" t="str">
        <f t="shared" ca="1" si="32"/>
        <v/>
      </c>
      <c r="H1062" s="72"/>
      <c r="I1062" s="71"/>
      <c r="L1062" s="55" t="str">
        <f t="shared" ca="1" si="33"/>
        <v>NE</v>
      </c>
    </row>
    <row r="1063" spans="1:12" ht="27" thickBot="1">
      <c r="A1063" s="72"/>
      <c r="B1063" s="74"/>
      <c r="C1063" s="71"/>
      <c r="D1063" s="71"/>
      <c r="E1063" s="72"/>
      <c r="F1063" s="70"/>
      <c r="G1063" s="72" t="str">
        <f t="shared" ca="1" si="32"/>
        <v/>
      </c>
      <c r="H1063" s="72"/>
      <c r="I1063" s="71"/>
      <c r="L1063" s="55" t="str">
        <f t="shared" ca="1" si="33"/>
        <v>NE</v>
      </c>
    </row>
    <row r="1064" spans="1:12" ht="27" thickBot="1">
      <c r="A1064" s="72"/>
      <c r="B1064" s="74"/>
      <c r="C1064" s="71"/>
      <c r="D1064" s="71"/>
      <c r="E1064" s="72"/>
      <c r="F1064" s="70"/>
      <c r="G1064" s="72" t="str">
        <f t="shared" ca="1" si="32"/>
        <v/>
      </c>
      <c r="H1064" s="72"/>
      <c r="I1064" s="71"/>
      <c r="L1064" s="55" t="str">
        <f t="shared" ca="1" si="33"/>
        <v>NE</v>
      </c>
    </row>
    <row r="1065" spans="1:12" ht="27" thickBot="1">
      <c r="A1065" s="72"/>
      <c r="B1065" s="74"/>
      <c r="C1065" s="71"/>
      <c r="D1065" s="71"/>
      <c r="E1065" s="72"/>
      <c r="F1065" s="70"/>
      <c r="G1065" s="72" t="str">
        <f t="shared" ca="1" si="32"/>
        <v/>
      </c>
      <c r="H1065" s="72"/>
      <c r="I1065" s="71"/>
      <c r="L1065" s="55" t="str">
        <f t="shared" ca="1" si="33"/>
        <v>NE</v>
      </c>
    </row>
    <row r="1066" spans="1:12" ht="27" thickBot="1">
      <c r="A1066" s="72"/>
      <c r="B1066" s="74"/>
      <c r="C1066" s="71"/>
      <c r="D1066" s="71"/>
      <c r="E1066" s="72"/>
      <c r="F1066" s="70"/>
      <c r="G1066" s="72" t="str">
        <f t="shared" ca="1" si="32"/>
        <v/>
      </c>
      <c r="H1066" s="72"/>
      <c r="I1066" s="71"/>
      <c r="L1066" s="55" t="str">
        <f t="shared" ca="1" si="33"/>
        <v>NE</v>
      </c>
    </row>
    <row r="1067" spans="1:12" ht="27" thickBot="1">
      <c r="A1067" s="72"/>
      <c r="B1067" s="74"/>
      <c r="C1067" s="71"/>
      <c r="D1067" s="71"/>
      <c r="E1067" s="72"/>
      <c r="F1067" s="70"/>
      <c r="G1067" s="72" t="str">
        <f t="shared" ca="1" si="32"/>
        <v/>
      </c>
      <c r="H1067" s="72"/>
      <c r="I1067" s="71"/>
      <c r="L1067" s="55" t="str">
        <f t="shared" ca="1" si="33"/>
        <v>NE</v>
      </c>
    </row>
    <row r="1068" spans="1:12" ht="27" thickBot="1">
      <c r="A1068" s="72"/>
      <c r="B1068" s="74"/>
      <c r="C1068" s="71"/>
      <c r="D1068" s="71"/>
      <c r="E1068" s="72"/>
      <c r="F1068" s="70"/>
      <c r="G1068" s="72" t="str">
        <f t="shared" ca="1" si="32"/>
        <v/>
      </c>
      <c r="H1068" s="72"/>
      <c r="I1068" s="71"/>
      <c r="L1068" s="55" t="str">
        <f t="shared" ca="1" si="33"/>
        <v>NE</v>
      </c>
    </row>
    <row r="1069" spans="1:12" ht="27" thickBot="1">
      <c r="A1069" s="72"/>
      <c r="B1069" s="74"/>
      <c r="C1069" s="71"/>
      <c r="D1069" s="71"/>
      <c r="E1069" s="72"/>
      <c r="F1069" s="70"/>
      <c r="G1069" s="72" t="str">
        <f t="shared" ca="1" si="32"/>
        <v/>
      </c>
      <c r="H1069" s="72"/>
      <c r="I1069" s="71"/>
      <c r="L1069" s="55" t="str">
        <f t="shared" ca="1" si="33"/>
        <v>NE</v>
      </c>
    </row>
    <row r="1070" spans="1:12" ht="27" thickBot="1">
      <c r="A1070" s="72"/>
      <c r="B1070" s="74"/>
      <c r="C1070" s="71"/>
      <c r="D1070" s="71"/>
      <c r="E1070" s="72"/>
      <c r="F1070" s="70"/>
      <c r="G1070" s="72" t="str">
        <f t="shared" ref="G1070:G1133" ca="1" si="34">IF(ISBLANK(F1070),"",IF(F1070&gt;=TODAY(), "Non Echue", "Echue"))</f>
        <v/>
      </c>
      <c r="H1070" s="72"/>
      <c r="I1070" s="71"/>
      <c r="L1070" s="55" t="str">
        <f t="shared" ref="L1070:L1133" ca="1" si="35" xml:space="preserve"> IF(G1070 = "Echue",IF(H1070 = "Appliqué","EAP","NAP"),"NE")</f>
        <v>NE</v>
      </c>
    </row>
    <row r="1071" spans="1:12" ht="27" thickBot="1">
      <c r="A1071" s="72"/>
      <c r="B1071" s="74"/>
      <c r="C1071" s="71"/>
      <c r="D1071" s="71"/>
      <c r="E1071" s="72"/>
      <c r="F1071" s="70"/>
      <c r="G1071" s="72" t="str">
        <f t="shared" ca="1" si="34"/>
        <v/>
      </c>
      <c r="H1071" s="72"/>
      <c r="I1071" s="71"/>
      <c r="L1071" s="55" t="str">
        <f t="shared" ca="1" si="35"/>
        <v>NE</v>
      </c>
    </row>
    <row r="1072" spans="1:12" ht="27" thickBot="1">
      <c r="A1072" s="72"/>
      <c r="B1072" s="74"/>
      <c r="C1072" s="71"/>
      <c r="D1072" s="71"/>
      <c r="E1072" s="72"/>
      <c r="F1072" s="70"/>
      <c r="G1072" s="72" t="str">
        <f t="shared" ca="1" si="34"/>
        <v/>
      </c>
      <c r="H1072" s="72"/>
      <c r="I1072" s="71"/>
      <c r="L1072" s="55" t="str">
        <f t="shared" ca="1" si="35"/>
        <v>NE</v>
      </c>
    </row>
    <row r="1073" spans="1:12" ht="27" thickBot="1">
      <c r="A1073" s="72"/>
      <c r="B1073" s="74"/>
      <c r="C1073" s="71"/>
      <c r="D1073" s="71"/>
      <c r="E1073" s="72"/>
      <c r="F1073" s="70"/>
      <c r="G1073" s="72" t="str">
        <f t="shared" ca="1" si="34"/>
        <v/>
      </c>
      <c r="H1073" s="72"/>
      <c r="I1073" s="71"/>
      <c r="L1073" s="55" t="str">
        <f t="shared" ca="1" si="35"/>
        <v>NE</v>
      </c>
    </row>
    <row r="1074" spans="1:12" ht="27" thickBot="1">
      <c r="A1074" s="72"/>
      <c r="B1074" s="74"/>
      <c r="C1074" s="71"/>
      <c r="D1074" s="71"/>
      <c r="E1074" s="72"/>
      <c r="F1074" s="70"/>
      <c r="G1074" s="72" t="str">
        <f t="shared" ca="1" si="34"/>
        <v/>
      </c>
      <c r="H1074" s="72"/>
      <c r="I1074" s="71"/>
      <c r="L1074" s="55" t="str">
        <f t="shared" ca="1" si="35"/>
        <v>NE</v>
      </c>
    </row>
    <row r="1075" spans="1:12" ht="27" thickBot="1">
      <c r="A1075" s="72"/>
      <c r="B1075" s="74"/>
      <c r="C1075" s="71"/>
      <c r="D1075" s="71"/>
      <c r="E1075" s="72"/>
      <c r="F1075" s="70"/>
      <c r="G1075" s="72" t="str">
        <f t="shared" ca="1" si="34"/>
        <v/>
      </c>
      <c r="H1075" s="72"/>
      <c r="I1075" s="71"/>
      <c r="L1075" s="55" t="str">
        <f t="shared" ca="1" si="35"/>
        <v>NE</v>
      </c>
    </row>
    <row r="1076" spans="1:12" ht="27" thickBot="1">
      <c r="A1076" s="72"/>
      <c r="B1076" s="74"/>
      <c r="C1076" s="71"/>
      <c r="D1076" s="71"/>
      <c r="E1076" s="72"/>
      <c r="F1076" s="70"/>
      <c r="G1076" s="72" t="str">
        <f t="shared" ca="1" si="34"/>
        <v/>
      </c>
      <c r="H1076" s="72"/>
      <c r="I1076" s="71"/>
      <c r="L1076" s="55" t="str">
        <f t="shared" ca="1" si="35"/>
        <v>NE</v>
      </c>
    </row>
    <row r="1077" spans="1:12" ht="27" thickBot="1">
      <c r="A1077" s="72"/>
      <c r="B1077" s="74"/>
      <c r="C1077" s="71"/>
      <c r="D1077" s="71"/>
      <c r="E1077" s="72"/>
      <c r="F1077" s="70"/>
      <c r="G1077" s="72" t="str">
        <f t="shared" ca="1" si="34"/>
        <v/>
      </c>
      <c r="H1077" s="72"/>
      <c r="I1077" s="71"/>
      <c r="L1077" s="55" t="str">
        <f t="shared" ca="1" si="35"/>
        <v>NE</v>
      </c>
    </row>
    <row r="1078" spans="1:12" ht="27" thickBot="1">
      <c r="A1078" s="72"/>
      <c r="B1078" s="74"/>
      <c r="C1078" s="71"/>
      <c r="D1078" s="71"/>
      <c r="E1078" s="72"/>
      <c r="F1078" s="70"/>
      <c r="G1078" s="72" t="str">
        <f t="shared" ca="1" si="34"/>
        <v/>
      </c>
      <c r="H1078" s="72"/>
      <c r="I1078" s="71"/>
      <c r="L1078" s="55" t="str">
        <f t="shared" ca="1" si="35"/>
        <v>NE</v>
      </c>
    </row>
    <row r="1079" spans="1:12" ht="27" thickBot="1">
      <c r="A1079" s="72"/>
      <c r="B1079" s="74"/>
      <c r="C1079" s="71"/>
      <c r="D1079" s="71"/>
      <c r="E1079" s="72"/>
      <c r="F1079" s="70"/>
      <c r="G1079" s="72" t="str">
        <f t="shared" ca="1" si="34"/>
        <v/>
      </c>
      <c r="H1079" s="72"/>
      <c r="I1079" s="71"/>
      <c r="L1079" s="55" t="str">
        <f t="shared" ca="1" si="35"/>
        <v>NE</v>
      </c>
    </row>
    <row r="1080" spans="1:12" ht="27" thickBot="1">
      <c r="A1080" s="72"/>
      <c r="B1080" s="74"/>
      <c r="C1080" s="71"/>
      <c r="D1080" s="71"/>
      <c r="E1080" s="72"/>
      <c r="F1080" s="70"/>
      <c r="G1080" s="72" t="str">
        <f t="shared" ca="1" si="34"/>
        <v/>
      </c>
      <c r="H1080" s="72"/>
      <c r="I1080" s="71"/>
      <c r="L1080" s="55" t="str">
        <f t="shared" ca="1" si="35"/>
        <v>NE</v>
      </c>
    </row>
    <row r="1081" spans="1:12" ht="27" thickBot="1">
      <c r="A1081" s="72"/>
      <c r="B1081" s="74"/>
      <c r="C1081" s="71"/>
      <c r="D1081" s="71"/>
      <c r="E1081" s="72"/>
      <c r="F1081" s="70"/>
      <c r="G1081" s="72" t="str">
        <f t="shared" ca="1" si="34"/>
        <v/>
      </c>
      <c r="H1081" s="72"/>
      <c r="I1081" s="71"/>
      <c r="L1081" s="55" t="str">
        <f t="shared" ca="1" si="35"/>
        <v>NE</v>
      </c>
    </row>
    <row r="1082" spans="1:12" ht="27" thickBot="1">
      <c r="A1082" s="72"/>
      <c r="B1082" s="74"/>
      <c r="C1082" s="71"/>
      <c r="D1082" s="71"/>
      <c r="E1082" s="72"/>
      <c r="F1082" s="70"/>
      <c r="G1082" s="72" t="str">
        <f t="shared" ca="1" si="34"/>
        <v/>
      </c>
      <c r="H1082" s="72"/>
      <c r="I1082" s="71"/>
      <c r="L1082" s="55" t="str">
        <f t="shared" ca="1" si="35"/>
        <v>NE</v>
      </c>
    </row>
    <row r="1083" spans="1:12" ht="27" thickBot="1">
      <c r="A1083" s="72"/>
      <c r="B1083" s="74"/>
      <c r="C1083" s="71"/>
      <c r="D1083" s="71"/>
      <c r="E1083" s="72"/>
      <c r="F1083" s="70"/>
      <c r="G1083" s="72" t="str">
        <f t="shared" ca="1" si="34"/>
        <v/>
      </c>
      <c r="H1083" s="72"/>
      <c r="I1083" s="71"/>
      <c r="L1083" s="55" t="str">
        <f t="shared" ca="1" si="35"/>
        <v>NE</v>
      </c>
    </row>
    <row r="1084" spans="1:12" ht="27" thickBot="1">
      <c r="A1084" s="72"/>
      <c r="B1084" s="74"/>
      <c r="C1084" s="71"/>
      <c r="D1084" s="71"/>
      <c r="E1084" s="72"/>
      <c r="F1084" s="70"/>
      <c r="G1084" s="72" t="str">
        <f t="shared" ca="1" si="34"/>
        <v/>
      </c>
      <c r="H1084" s="72"/>
      <c r="I1084" s="71"/>
      <c r="L1084" s="55" t="str">
        <f t="shared" ca="1" si="35"/>
        <v>NE</v>
      </c>
    </row>
    <row r="1085" spans="1:12" ht="27" thickBot="1">
      <c r="A1085" s="72"/>
      <c r="B1085" s="74"/>
      <c r="C1085" s="71"/>
      <c r="D1085" s="71"/>
      <c r="E1085" s="72"/>
      <c r="F1085" s="70"/>
      <c r="G1085" s="72" t="str">
        <f t="shared" ca="1" si="34"/>
        <v/>
      </c>
      <c r="H1085" s="72"/>
      <c r="I1085" s="71"/>
      <c r="L1085" s="55" t="str">
        <f t="shared" ca="1" si="35"/>
        <v>NE</v>
      </c>
    </row>
    <row r="1086" spans="1:12" ht="27" thickBot="1">
      <c r="A1086" s="72"/>
      <c r="B1086" s="74"/>
      <c r="C1086" s="71"/>
      <c r="D1086" s="71"/>
      <c r="E1086" s="72"/>
      <c r="F1086" s="70"/>
      <c r="G1086" s="72" t="str">
        <f t="shared" ca="1" si="34"/>
        <v/>
      </c>
      <c r="H1086" s="72"/>
      <c r="I1086" s="71"/>
      <c r="L1086" s="55" t="str">
        <f t="shared" ca="1" si="35"/>
        <v>NE</v>
      </c>
    </row>
    <row r="1087" spans="1:12" ht="27" thickBot="1">
      <c r="A1087" s="72"/>
      <c r="B1087" s="74"/>
      <c r="C1087" s="71"/>
      <c r="D1087" s="71"/>
      <c r="E1087" s="72"/>
      <c r="F1087" s="70"/>
      <c r="G1087" s="72" t="str">
        <f t="shared" ca="1" si="34"/>
        <v/>
      </c>
      <c r="H1087" s="72"/>
      <c r="I1087" s="71"/>
      <c r="L1087" s="55" t="str">
        <f t="shared" ca="1" si="35"/>
        <v>NE</v>
      </c>
    </row>
    <row r="1088" spans="1:12" ht="27" thickBot="1">
      <c r="A1088" s="72"/>
      <c r="B1088" s="74"/>
      <c r="C1088" s="71"/>
      <c r="D1088" s="71"/>
      <c r="E1088" s="72"/>
      <c r="F1088" s="70"/>
      <c r="G1088" s="72" t="str">
        <f t="shared" ca="1" si="34"/>
        <v/>
      </c>
      <c r="H1088" s="72"/>
      <c r="I1088" s="71"/>
      <c r="L1088" s="55" t="str">
        <f t="shared" ca="1" si="35"/>
        <v>NE</v>
      </c>
    </row>
    <row r="1089" spans="1:12" ht="27" thickBot="1">
      <c r="A1089" s="72"/>
      <c r="B1089" s="74"/>
      <c r="C1089" s="71"/>
      <c r="D1089" s="71"/>
      <c r="E1089" s="72"/>
      <c r="F1089" s="70"/>
      <c r="G1089" s="72" t="str">
        <f t="shared" ca="1" si="34"/>
        <v/>
      </c>
      <c r="H1089" s="72"/>
      <c r="I1089" s="71"/>
      <c r="L1089" s="55" t="str">
        <f t="shared" ca="1" si="35"/>
        <v>NE</v>
      </c>
    </row>
    <row r="1090" spans="1:12" ht="27" thickBot="1">
      <c r="A1090" s="72"/>
      <c r="B1090" s="74"/>
      <c r="C1090" s="71"/>
      <c r="D1090" s="71"/>
      <c r="E1090" s="72"/>
      <c r="F1090" s="70"/>
      <c r="G1090" s="72" t="str">
        <f t="shared" ca="1" si="34"/>
        <v/>
      </c>
      <c r="H1090" s="72"/>
      <c r="I1090" s="71"/>
      <c r="L1090" s="55" t="str">
        <f t="shared" ca="1" si="35"/>
        <v>NE</v>
      </c>
    </row>
    <row r="1091" spans="1:12" ht="27" thickBot="1">
      <c r="A1091" s="72"/>
      <c r="B1091" s="74"/>
      <c r="C1091" s="71"/>
      <c r="D1091" s="71"/>
      <c r="E1091" s="72"/>
      <c r="F1091" s="70"/>
      <c r="G1091" s="72" t="str">
        <f t="shared" ca="1" si="34"/>
        <v/>
      </c>
      <c r="H1091" s="72"/>
      <c r="I1091" s="71"/>
      <c r="L1091" s="55" t="str">
        <f t="shared" ca="1" si="35"/>
        <v>NE</v>
      </c>
    </row>
    <row r="1092" spans="1:12" ht="27" thickBot="1">
      <c r="A1092" s="72"/>
      <c r="B1092" s="74"/>
      <c r="C1092" s="71"/>
      <c r="D1092" s="71"/>
      <c r="E1092" s="72"/>
      <c r="F1092" s="70"/>
      <c r="G1092" s="72" t="str">
        <f t="shared" ca="1" si="34"/>
        <v/>
      </c>
      <c r="H1092" s="72"/>
      <c r="I1092" s="71"/>
      <c r="L1092" s="55" t="str">
        <f t="shared" ca="1" si="35"/>
        <v>NE</v>
      </c>
    </row>
    <row r="1093" spans="1:12" ht="27" thickBot="1">
      <c r="A1093" s="72"/>
      <c r="B1093" s="74"/>
      <c r="C1093" s="71"/>
      <c r="D1093" s="71"/>
      <c r="E1093" s="72"/>
      <c r="F1093" s="70"/>
      <c r="G1093" s="72" t="str">
        <f t="shared" ca="1" si="34"/>
        <v/>
      </c>
      <c r="H1093" s="72"/>
      <c r="I1093" s="71"/>
      <c r="L1093" s="55" t="str">
        <f t="shared" ca="1" si="35"/>
        <v>NE</v>
      </c>
    </row>
    <row r="1094" spans="1:12" ht="27" thickBot="1">
      <c r="A1094" s="72"/>
      <c r="B1094" s="74"/>
      <c r="C1094" s="71"/>
      <c r="D1094" s="71"/>
      <c r="E1094" s="72"/>
      <c r="F1094" s="70"/>
      <c r="G1094" s="72" t="str">
        <f t="shared" ca="1" si="34"/>
        <v/>
      </c>
      <c r="H1094" s="72"/>
      <c r="I1094" s="71"/>
      <c r="L1094" s="55" t="str">
        <f t="shared" ca="1" si="35"/>
        <v>NE</v>
      </c>
    </row>
    <row r="1095" spans="1:12" ht="27" thickBot="1">
      <c r="A1095" s="72"/>
      <c r="B1095" s="74"/>
      <c r="C1095" s="71"/>
      <c r="D1095" s="71"/>
      <c r="E1095" s="72"/>
      <c r="F1095" s="70"/>
      <c r="G1095" s="72" t="str">
        <f t="shared" ca="1" si="34"/>
        <v/>
      </c>
      <c r="H1095" s="72"/>
      <c r="I1095" s="71"/>
      <c r="L1095" s="55" t="str">
        <f t="shared" ca="1" si="35"/>
        <v>NE</v>
      </c>
    </row>
    <row r="1096" spans="1:12" ht="27" thickBot="1">
      <c r="A1096" s="72"/>
      <c r="B1096" s="74"/>
      <c r="C1096" s="71"/>
      <c r="D1096" s="71"/>
      <c r="E1096" s="72"/>
      <c r="F1096" s="70"/>
      <c r="G1096" s="72" t="str">
        <f t="shared" ca="1" si="34"/>
        <v/>
      </c>
      <c r="H1096" s="72"/>
      <c r="I1096" s="71"/>
      <c r="L1096" s="55" t="str">
        <f t="shared" ca="1" si="35"/>
        <v>NE</v>
      </c>
    </row>
    <row r="1097" spans="1:12" ht="27" thickBot="1">
      <c r="A1097" s="72"/>
      <c r="B1097" s="74"/>
      <c r="C1097" s="71"/>
      <c r="D1097" s="71"/>
      <c r="E1097" s="72"/>
      <c r="F1097" s="70"/>
      <c r="G1097" s="72" t="str">
        <f t="shared" ca="1" si="34"/>
        <v/>
      </c>
      <c r="H1097" s="72"/>
      <c r="I1097" s="71"/>
      <c r="L1097" s="55" t="str">
        <f t="shared" ca="1" si="35"/>
        <v>NE</v>
      </c>
    </row>
    <row r="1098" spans="1:12" ht="27" thickBot="1">
      <c r="A1098" s="72"/>
      <c r="B1098" s="74"/>
      <c r="C1098" s="71"/>
      <c r="D1098" s="71"/>
      <c r="E1098" s="72"/>
      <c r="F1098" s="70"/>
      <c r="G1098" s="72" t="str">
        <f t="shared" ca="1" si="34"/>
        <v/>
      </c>
      <c r="H1098" s="72"/>
      <c r="I1098" s="71"/>
      <c r="L1098" s="55" t="str">
        <f t="shared" ca="1" si="35"/>
        <v>NE</v>
      </c>
    </row>
    <row r="1099" spans="1:12" ht="27" thickBot="1">
      <c r="A1099" s="72"/>
      <c r="B1099" s="74"/>
      <c r="C1099" s="71"/>
      <c r="D1099" s="71"/>
      <c r="E1099" s="72"/>
      <c r="F1099" s="70"/>
      <c r="G1099" s="72" t="str">
        <f t="shared" ca="1" si="34"/>
        <v/>
      </c>
      <c r="H1099" s="72"/>
      <c r="I1099" s="71"/>
      <c r="L1099" s="55" t="str">
        <f t="shared" ca="1" si="35"/>
        <v>NE</v>
      </c>
    </row>
    <row r="1100" spans="1:12" ht="27" thickBot="1">
      <c r="A1100" s="72"/>
      <c r="B1100" s="74"/>
      <c r="C1100" s="71"/>
      <c r="D1100" s="71"/>
      <c r="E1100" s="72"/>
      <c r="F1100" s="70"/>
      <c r="G1100" s="72" t="str">
        <f t="shared" ca="1" si="34"/>
        <v/>
      </c>
      <c r="H1100" s="72"/>
      <c r="I1100" s="71"/>
      <c r="L1100" s="55" t="str">
        <f t="shared" ca="1" si="35"/>
        <v>NE</v>
      </c>
    </row>
    <row r="1101" spans="1:12" ht="27" thickBot="1">
      <c r="A1101" s="72"/>
      <c r="B1101" s="74"/>
      <c r="C1101" s="71"/>
      <c r="D1101" s="71"/>
      <c r="E1101" s="72"/>
      <c r="F1101" s="70"/>
      <c r="G1101" s="72" t="str">
        <f t="shared" ca="1" si="34"/>
        <v/>
      </c>
      <c r="H1101" s="72"/>
      <c r="I1101" s="71"/>
      <c r="L1101" s="55" t="str">
        <f t="shared" ca="1" si="35"/>
        <v>NE</v>
      </c>
    </row>
    <row r="1102" spans="1:12" ht="27" thickBot="1">
      <c r="A1102" s="72"/>
      <c r="B1102" s="74"/>
      <c r="C1102" s="71"/>
      <c r="D1102" s="71"/>
      <c r="E1102" s="72"/>
      <c r="F1102" s="70"/>
      <c r="G1102" s="72" t="str">
        <f t="shared" ca="1" si="34"/>
        <v/>
      </c>
      <c r="H1102" s="72"/>
      <c r="I1102" s="71"/>
      <c r="L1102" s="55" t="str">
        <f t="shared" ca="1" si="35"/>
        <v>NE</v>
      </c>
    </row>
    <row r="1103" spans="1:12" ht="27" thickBot="1">
      <c r="A1103" s="72"/>
      <c r="B1103" s="74"/>
      <c r="C1103" s="71"/>
      <c r="D1103" s="71"/>
      <c r="E1103" s="72"/>
      <c r="F1103" s="70"/>
      <c r="G1103" s="72" t="str">
        <f t="shared" ca="1" si="34"/>
        <v/>
      </c>
      <c r="H1103" s="72"/>
      <c r="I1103" s="71"/>
      <c r="L1103" s="55" t="str">
        <f t="shared" ca="1" si="35"/>
        <v>NE</v>
      </c>
    </row>
    <row r="1104" spans="1:12" ht="27" thickBot="1">
      <c r="A1104" s="72"/>
      <c r="B1104" s="74"/>
      <c r="C1104" s="71"/>
      <c r="D1104" s="71"/>
      <c r="E1104" s="72"/>
      <c r="F1104" s="70"/>
      <c r="G1104" s="72" t="str">
        <f t="shared" ca="1" si="34"/>
        <v/>
      </c>
      <c r="H1104" s="72"/>
      <c r="I1104" s="71"/>
      <c r="L1104" s="55" t="str">
        <f t="shared" ca="1" si="35"/>
        <v>NE</v>
      </c>
    </row>
    <row r="1105" spans="1:12" ht="27" thickBot="1">
      <c r="A1105" s="72"/>
      <c r="B1105" s="74"/>
      <c r="C1105" s="71"/>
      <c r="D1105" s="71"/>
      <c r="E1105" s="72"/>
      <c r="F1105" s="70"/>
      <c r="G1105" s="72" t="str">
        <f t="shared" ca="1" si="34"/>
        <v/>
      </c>
      <c r="H1105" s="72"/>
      <c r="I1105" s="71"/>
      <c r="L1105" s="55" t="str">
        <f t="shared" ca="1" si="35"/>
        <v>NE</v>
      </c>
    </row>
    <row r="1106" spans="1:12" ht="27" thickBot="1">
      <c r="A1106" s="72"/>
      <c r="B1106" s="74"/>
      <c r="C1106" s="71"/>
      <c r="D1106" s="71"/>
      <c r="E1106" s="72"/>
      <c r="F1106" s="70"/>
      <c r="G1106" s="72" t="str">
        <f t="shared" ca="1" si="34"/>
        <v/>
      </c>
      <c r="H1106" s="72"/>
      <c r="I1106" s="71"/>
      <c r="L1106" s="55" t="str">
        <f t="shared" ca="1" si="35"/>
        <v>NE</v>
      </c>
    </row>
    <row r="1107" spans="1:12" ht="27" thickBot="1">
      <c r="A1107" s="72"/>
      <c r="B1107" s="74"/>
      <c r="C1107" s="71"/>
      <c r="D1107" s="71"/>
      <c r="E1107" s="72"/>
      <c r="F1107" s="70"/>
      <c r="G1107" s="72" t="str">
        <f t="shared" ca="1" si="34"/>
        <v/>
      </c>
      <c r="H1107" s="72"/>
      <c r="I1107" s="71"/>
      <c r="L1107" s="55" t="str">
        <f t="shared" ca="1" si="35"/>
        <v>NE</v>
      </c>
    </row>
    <row r="1108" spans="1:12" ht="27" thickBot="1">
      <c r="A1108" s="72"/>
      <c r="B1108" s="74"/>
      <c r="C1108" s="71"/>
      <c r="D1108" s="71"/>
      <c r="E1108" s="72"/>
      <c r="F1108" s="70"/>
      <c r="G1108" s="72" t="str">
        <f t="shared" ca="1" si="34"/>
        <v/>
      </c>
      <c r="H1108" s="72"/>
      <c r="I1108" s="71"/>
      <c r="L1108" s="55" t="str">
        <f t="shared" ca="1" si="35"/>
        <v>NE</v>
      </c>
    </row>
    <row r="1109" spans="1:12" ht="27" thickBot="1">
      <c r="A1109" s="72"/>
      <c r="B1109" s="74"/>
      <c r="C1109" s="71"/>
      <c r="D1109" s="71"/>
      <c r="E1109" s="72"/>
      <c r="F1109" s="70"/>
      <c r="G1109" s="72" t="str">
        <f t="shared" ca="1" si="34"/>
        <v/>
      </c>
      <c r="H1109" s="72"/>
      <c r="I1109" s="71"/>
      <c r="L1109" s="55" t="str">
        <f t="shared" ca="1" si="35"/>
        <v>NE</v>
      </c>
    </row>
    <row r="1110" spans="1:12" ht="27" thickBot="1">
      <c r="A1110" s="72"/>
      <c r="B1110" s="74"/>
      <c r="C1110" s="71"/>
      <c r="D1110" s="71"/>
      <c r="E1110" s="72"/>
      <c r="F1110" s="70"/>
      <c r="G1110" s="72" t="str">
        <f t="shared" ca="1" si="34"/>
        <v/>
      </c>
      <c r="H1110" s="72"/>
      <c r="I1110" s="71"/>
      <c r="L1110" s="55" t="str">
        <f t="shared" ca="1" si="35"/>
        <v>NE</v>
      </c>
    </row>
    <row r="1111" spans="1:12" ht="27" thickBot="1">
      <c r="A1111" s="72"/>
      <c r="B1111" s="74"/>
      <c r="C1111" s="71"/>
      <c r="D1111" s="71"/>
      <c r="E1111" s="72"/>
      <c r="F1111" s="70"/>
      <c r="G1111" s="72" t="str">
        <f t="shared" ca="1" si="34"/>
        <v/>
      </c>
      <c r="H1111" s="72"/>
      <c r="I1111" s="71"/>
      <c r="L1111" s="55" t="str">
        <f t="shared" ca="1" si="35"/>
        <v>NE</v>
      </c>
    </row>
    <row r="1112" spans="1:12" ht="27" thickBot="1">
      <c r="A1112" s="72"/>
      <c r="B1112" s="74"/>
      <c r="C1112" s="71"/>
      <c r="D1112" s="71"/>
      <c r="E1112" s="72"/>
      <c r="F1112" s="70"/>
      <c r="G1112" s="72" t="str">
        <f t="shared" ca="1" si="34"/>
        <v/>
      </c>
      <c r="H1112" s="72"/>
      <c r="I1112" s="71"/>
      <c r="L1112" s="55" t="str">
        <f t="shared" ca="1" si="35"/>
        <v>NE</v>
      </c>
    </row>
    <row r="1113" spans="1:12" ht="27" thickBot="1">
      <c r="A1113" s="72"/>
      <c r="B1113" s="74"/>
      <c r="C1113" s="71"/>
      <c r="D1113" s="71"/>
      <c r="E1113" s="72"/>
      <c r="F1113" s="70"/>
      <c r="G1113" s="72" t="str">
        <f t="shared" ca="1" si="34"/>
        <v/>
      </c>
      <c r="H1113" s="72"/>
      <c r="I1113" s="71"/>
      <c r="L1113" s="55" t="str">
        <f t="shared" ca="1" si="35"/>
        <v>NE</v>
      </c>
    </row>
    <row r="1114" spans="1:12" ht="27" thickBot="1">
      <c r="A1114" s="72"/>
      <c r="B1114" s="74"/>
      <c r="C1114" s="71"/>
      <c r="D1114" s="71"/>
      <c r="E1114" s="72"/>
      <c r="F1114" s="70"/>
      <c r="G1114" s="72" t="str">
        <f t="shared" ca="1" si="34"/>
        <v/>
      </c>
      <c r="H1114" s="72"/>
      <c r="I1114" s="71"/>
      <c r="L1114" s="55" t="str">
        <f t="shared" ca="1" si="35"/>
        <v>NE</v>
      </c>
    </row>
    <row r="1115" spans="1:12" ht="27" thickBot="1">
      <c r="A1115" s="72"/>
      <c r="B1115" s="74"/>
      <c r="C1115" s="71"/>
      <c r="D1115" s="71"/>
      <c r="E1115" s="72"/>
      <c r="F1115" s="70"/>
      <c r="G1115" s="72" t="str">
        <f t="shared" ca="1" si="34"/>
        <v/>
      </c>
      <c r="H1115" s="72"/>
      <c r="I1115" s="71"/>
      <c r="L1115" s="55" t="str">
        <f t="shared" ca="1" si="35"/>
        <v>NE</v>
      </c>
    </row>
    <row r="1116" spans="1:12" ht="27" thickBot="1">
      <c r="A1116" s="72"/>
      <c r="B1116" s="74"/>
      <c r="C1116" s="71"/>
      <c r="D1116" s="71"/>
      <c r="E1116" s="72"/>
      <c r="F1116" s="70"/>
      <c r="G1116" s="72" t="str">
        <f t="shared" ca="1" si="34"/>
        <v/>
      </c>
      <c r="H1116" s="72"/>
      <c r="I1116" s="71"/>
      <c r="L1116" s="55" t="str">
        <f t="shared" ca="1" si="35"/>
        <v>NE</v>
      </c>
    </row>
    <row r="1117" spans="1:12" ht="27" thickBot="1">
      <c r="A1117" s="72"/>
      <c r="B1117" s="74"/>
      <c r="C1117" s="71"/>
      <c r="D1117" s="71"/>
      <c r="E1117" s="72"/>
      <c r="F1117" s="70"/>
      <c r="G1117" s="72" t="str">
        <f t="shared" ca="1" si="34"/>
        <v/>
      </c>
      <c r="H1117" s="72"/>
      <c r="I1117" s="71"/>
      <c r="L1117" s="55" t="str">
        <f t="shared" ca="1" si="35"/>
        <v>NE</v>
      </c>
    </row>
    <row r="1118" spans="1:12" ht="27" thickBot="1">
      <c r="A1118" s="72"/>
      <c r="B1118" s="74"/>
      <c r="C1118" s="71"/>
      <c r="D1118" s="71"/>
      <c r="E1118" s="72"/>
      <c r="F1118" s="70"/>
      <c r="G1118" s="72" t="str">
        <f t="shared" ca="1" si="34"/>
        <v/>
      </c>
      <c r="H1118" s="72"/>
      <c r="I1118" s="71"/>
      <c r="L1118" s="55" t="str">
        <f t="shared" ca="1" si="35"/>
        <v>NE</v>
      </c>
    </row>
    <row r="1119" spans="1:12" ht="27" thickBot="1">
      <c r="A1119" s="72"/>
      <c r="B1119" s="74"/>
      <c r="C1119" s="71"/>
      <c r="D1119" s="71"/>
      <c r="E1119" s="72"/>
      <c r="F1119" s="70"/>
      <c r="G1119" s="72" t="str">
        <f t="shared" ca="1" si="34"/>
        <v/>
      </c>
      <c r="H1119" s="72"/>
      <c r="I1119" s="71"/>
      <c r="L1119" s="55" t="str">
        <f t="shared" ca="1" si="35"/>
        <v>NE</v>
      </c>
    </row>
    <row r="1120" spans="1:12" ht="27" thickBot="1">
      <c r="A1120" s="72"/>
      <c r="B1120" s="74"/>
      <c r="C1120" s="71"/>
      <c r="D1120" s="71"/>
      <c r="E1120" s="72"/>
      <c r="F1120" s="70"/>
      <c r="G1120" s="72" t="str">
        <f t="shared" ca="1" si="34"/>
        <v/>
      </c>
      <c r="H1120" s="72"/>
      <c r="I1120" s="71"/>
      <c r="L1120" s="55" t="str">
        <f t="shared" ca="1" si="35"/>
        <v>NE</v>
      </c>
    </row>
    <row r="1121" spans="1:12" ht="27" thickBot="1">
      <c r="A1121" s="72"/>
      <c r="B1121" s="74"/>
      <c r="C1121" s="71"/>
      <c r="D1121" s="71"/>
      <c r="E1121" s="72"/>
      <c r="F1121" s="70"/>
      <c r="G1121" s="72" t="str">
        <f t="shared" ca="1" si="34"/>
        <v/>
      </c>
      <c r="H1121" s="72"/>
      <c r="I1121" s="71"/>
      <c r="L1121" s="55" t="str">
        <f t="shared" ca="1" si="35"/>
        <v>NE</v>
      </c>
    </row>
    <row r="1122" spans="1:12" ht="27" thickBot="1">
      <c r="A1122" s="72"/>
      <c r="B1122" s="74"/>
      <c r="C1122" s="71"/>
      <c r="D1122" s="71"/>
      <c r="E1122" s="72"/>
      <c r="F1122" s="70"/>
      <c r="G1122" s="72" t="str">
        <f t="shared" ca="1" si="34"/>
        <v/>
      </c>
      <c r="H1122" s="72"/>
      <c r="I1122" s="71"/>
      <c r="L1122" s="55" t="str">
        <f t="shared" ca="1" si="35"/>
        <v>NE</v>
      </c>
    </row>
    <row r="1123" spans="1:12" ht="27" thickBot="1">
      <c r="A1123" s="72"/>
      <c r="B1123" s="74"/>
      <c r="C1123" s="71"/>
      <c r="D1123" s="71"/>
      <c r="E1123" s="72"/>
      <c r="F1123" s="70"/>
      <c r="G1123" s="72" t="str">
        <f t="shared" ca="1" si="34"/>
        <v/>
      </c>
      <c r="H1123" s="72"/>
      <c r="I1123" s="71"/>
      <c r="L1123" s="55" t="str">
        <f t="shared" ca="1" si="35"/>
        <v>NE</v>
      </c>
    </row>
    <row r="1124" spans="1:12" ht="27" thickBot="1">
      <c r="A1124" s="72"/>
      <c r="B1124" s="74"/>
      <c r="C1124" s="71"/>
      <c r="D1124" s="71"/>
      <c r="E1124" s="72"/>
      <c r="F1124" s="70"/>
      <c r="G1124" s="72" t="str">
        <f t="shared" ca="1" si="34"/>
        <v/>
      </c>
      <c r="H1124" s="72"/>
      <c r="I1124" s="71"/>
      <c r="L1124" s="55" t="str">
        <f t="shared" ca="1" si="35"/>
        <v>NE</v>
      </c>
    </row>
    <row r="1125" spans="1:12" ht="27" thickBot="1">
      <c r="A1125" s="72"/>
      <c r="B1125" s="74"/>
      <c r="C1125" s="71"/>
      <c r="D1125" s="71"/>
      <c r="E1125" s="72"/>
      <c r="F1125" s="70"/>
      <c r="G1125" s="72" t="str">
        <f t="shared" ca="1" si="34"/>
        <v/>
      </c>
      <c r="H1125" s="72"/>
      <c r="I1125" s="71"/>
      <c r="L1125" s="55" t="str">
        <f t="shared" ca="1" si="35"/>
        <v>NE</v>
      </c>
    </row>
    <row r="1126" spans="1:12" ht="27" thickBot="1">
      <c r="A1126" s="72"/>
      <c r="B1126" s="74"/>
      <c r="C1126" s="71"/>
      <c r="D1126" s="71"/>
      <c r="E1126" s="72"/>
      <c r="F1126" s="70"/>
      <c r="G1126" s="72" t="str">
        <f t="shared" ca="1" si="34"/>
        <v/>
      </c>
      <c r="H1126" s="72"/>
      <c r="I1126" s="71"/>
      <c r="L1126" s="55" t="str">
        <f t="shared" ca="1" si="35"/>
        <v>NE</v>
      </c>
    </row>
    <row r="1127" spans="1:12" ht="27" thickBot="1">
      <c r="A1127" s="72"/>
      <c r="B1127" s="74"/>
      <c r="C1127" s="71"/>
      <c r="D1127" s="71"/>
      <c r="E1127" s="72"/>
      <c r="F1127" s="70"/>
      <c r="G1127" s="72" t="str">
        <f t="shared" ca="1" si="34"/>
        <v/>
      </c>
      <c r="H1127" s="72"/>
      <c r="I1127" s="71"/>
      <c r="L1127" s="55" t="str">
        <f t="shared" ca="1" si="35"/>
        <v>NE</v>
      </c>
    </row>
    <row r="1128" spans="1:12" ht="27" thickBot="1">
      <c r="A1128" s="72"/>
      <c r="B1128" s="74"/>
      <c r="C1128" s="71"/>
      <c r="D1128" s="71"/>
      <c r="E1128" s="72"/>
      <c r="F1128" s="70"/>
      <c r="G1128" s="72" t="str">
        <f t="shared" ca="1" si="34"/>
        <v/>
      </c>
      <c r="H1128" s="72"/>
      <c r="I1128" s="71"/>
      <c r="L1128" s="55" t="str">
        <f t="shared" ca="1" si="35"/>
        <v>NE</v>
      </c>
    </row>
    <row r="1129" spans="1:12" ht="27" thickBot="1">
      <c r="A1129" s="72"/>
      <c r="B1129" s="74"/>
      <c r="C1129" s="71"/>
      <c r="D1129" s="71"/>
      <c r="E1129" s="72"/>
      <c r="F1129" s="70"/>
      <c r="G1129" s="72" t="str">
        <f t="shared" ca="1" si="34"/>
        <v/>
      </c>
      <c r="H1129" s="72"/>
      <c r="I1129" s="71"/>
      <c r="L1129" s="55" t="str">
        <f t="shared" ca="1" si="35"/>
        <v>NE</v>
      </c>
    </row>
    <row r="1130" spans="1:12" ht="27" thickBot="1">
      <c r="A1130" s="72"/>
      <c r="B1130" s="74"/>
      <c r="C1130" s="71"/>
      <c r="D1130" s="71"/>
      <c r="E1130" s="72"/>
      <c r="F1130" s="70"/>
      <c r="G1130" s="72" t="str">
        <f t="shared" ca="1" si="34"/>
        <v/>
      </c>
      <c r="H1130" s="72"/>
      <c r="I1130" s="71"/>
      <c r="L1130" s="55" t="str">
        <f t="shared" ca="1" si="35"/>
        <v>NE</v>
      </c>
    </row>
    <row r="1131" spans="1:12" ht="27" thickBot="1">
      <c r="A1131" s="72"/>
      <c r="B1131" s="74"/>
      <c r="C1131" s="71"/>
      <c r="D1131" s="71"/>
      <c r="E1131" s="72"/>
      <c r="F1131" s="70"/>
      <c r="G1131" s="72" t="str">
        <f t="shared" ca="1" si="34"/>
        <v/>
      </c>
      <c r="H1131" s="72"/>
      <c r="I1131" s="71"/>
      <c r="L1131" s="55" t="str">
        <f t="shared" ca="1" si="35"/>
        <v>NE</v>
      </c>
    </row>
    <row r="1132" spans="1:12" ht="27" thickBot="1">
      <c r="A1132" s="72"/>
      <c r="B1132" s="74"/>
      <c r="C1132" s="71"/>
      <c r="D1132" s="71"/>
      <c r="E1132" s="72"/>
      <c r="F1132" s="70"/>
      <c r="G1132" s="72" t="str">
        <f t="shared" ca="1" si="34"/>
        <v/>
      </c>
      <c r="H1132" s="72"/>
      <c r="I1132" s="71"/>
      <c r="L1132" s="55" t="str">
        <f t="shared" ca="1" si="35"/>
        <v>NE</v>
      </c>
    </row>
    <row r="1133" spans="1:12" ht="27" thickBot="1">
      <c r="A1133" s="72"/>
      <c r="B1133" s="74"/>
      <c r="C1133" s="71"/>
      <c r="D1133" s="71"/>
      <c r="E1133" s="72"/>
      <c r="F1133" s="70"/>
      <c r="G1133" s="72" t="str">
        <f t="shared" ca="1" si="34"/>
        <v/>
      </c>
      <c r="H1133" s="72"/>
      <c r="I1133" s="71"/>
      <c r="L1133" s="55" t="str">
        <f t="shared" ca="1" si="35"/>
        <v>NE</v>
      </c>
    </row>
    <row r="1134" spans="1:12" ht="27" thickBot="1">
      <c r="A1134" s="72"/>
      <c r="B1134" s="74"/>
      <c r="C1134" s="71"/>
      <c r="D1134" s="71"/>
      <c r="E1134" s="72"/>
      <c r="F1134" s="70"/>
      <c r="G1134" s="72" t="str">
        <f t="shared" ref="G1134:G1197" ca="1" si="36">IF(ISBLANK(F1134),"",IF(F1134&gt;=TODAY(), "Non Echue", "Echue"))</f>
        <v/>
      </c>
      <c r="H1134" s="72"/>
      <c r="I1134" s="71"/>
      <c r="L1134" s="55" t="str">
        <f t="shared" ref="L1134:L1197" ca="1" si="37" xml:space="preserve"> IF(G1134 = "Echue",IF(H1134 = "Appliqué","EAP","NAP"),"NE")</f>
        <v>NE</v>
      </c>
    </row>
    <row r="1135" spans="1:12" ht="27" thickBot="1">
      <c r="A1135" s="72"/>
      <c r="B1135" s="74"/>
      <c r="C1135" s="71"/>
      <c r="D1135" s="71"/>
      <c r="E1135" s="72"/>
      <c r="F1135" s="70"/>
      <c r="G1135" s="72" t="str">
        <f t="shared" ca="1" si="36"/>
        <v/>
      </c>
      <c r="H1135" s="72"/>
      <c r="I1135" s="71"/>
      <c r="L1135" s="55" t="str">
        <f t="shared" ca="1" si="37"/>
        <v>NE</v>
      </c>
    </row>
    <row r="1136" spans="1:12" ht="27" thickBot="1">
      <c r="A1136" s="72"/>
      <c r="B1136" s="74"/>
      <c r="C1136" s="71"/>
      <c r="D1136" s="71"/>
      <c r="E1136" s="72"/>
      <c r="F1136" s="70"/>
      <c r="G1136" s="72" t="str">
        <f t="shared" ca="1" si="36"/>
        <v/>
      </c>
      <c r="H1136" s="72"/>
      <c r="I1136" s="71"/>
      <c r="L1136" s="55" t="str">
        <f t="shared" ca="1" si="37"/>
        <v>NE</v>
      </c>
    </row>
    <row r="1137" spans="1:12" ht="27" thickBot="1">
      <c r="A1137" s="72"/>
      <c r="B1137" s="74"/>
      <c r="C1137" s="71"/>
      <c r="D1137" s="71"/>
      <c r="E1137" s="72"/>
      <c r="F1137" s="70"/>
      <c r="G1137" s="72" t="str">
        <f t="shared" ca="1" si="36"/>
        <v/>
      </c>
      <c r="H1137" s="72"/>
      <c r="I1137" s="71"/>
      <c r="L1137" s="55" t="str">
        <f t="shared" ca="1" si="37"/>
        <v>NE</v>
      </c>
    </row>
    <row r="1138" spans="1:12" ht="27" thickBot="1">
      <c r="A1138" s="72"/>
      <c r="B1138" s="74"/>
      <c r="C1138" s="71"/>
      <c r="D1138" s="71"/>
      <c r="E1138" s="72"/>
      <c r="F1138" s="70"/>
      <c r="G1138" s="72" t="str">
        <f t="shared" ca="1" si="36"/>
        <v/>
      </c>
      <c r="H1138" s="72"/>
      <c r="I1138" s="71"/>
      <c r="L1138" s="55" t="str">
        <f t="shared" ca="1" si="37"/>
        <v>NE</v>
      </c>
    </row>
    <row r="1139" spans="1:12" ht="27" thickBot="1">
      <c r="A1139" s="72"/>
      <c r="B1139" s="74"/>
      <c r="C1139" s="71"/>
      <c r="D1139" s="71"/>
      <c r="E1139" s="72"/>
      <c r="F1139" s="70"/>
      <c r="G1139" s="72" t="str">
        <f t="shared" ca="1" si="36"/>
        <v/>
      </c>
      <c r="H1139" s="72"/>
      <c r="I1139" s="71"/>
      <c r="L1139" s="55" t="str">
        <f t="shared" ca="1" si="37"/>
        <v>NE</v>
      </c>
    </row>
    <row r="1140" spans="1:12" ht="27" thickBot="1">
      <c r="A1140" s="72"/>
      <c r="B1140" s="74"/>
      <c r="C1140" s="71"/>
      <c r="D1140" s="71"/>
      <c r="E1140" s="72"/>
      <c r="F1140" s="70"/>
      <c r="G1140" s="72" t="str">
        <f t="shared" ca="1" si="36"/>
        <v/>
      </c>
      <c r="H1140" s="72"/>
      <c r="I1140" s="71"/>
      <c r="L1140" s="55" t="str">
        <f t="shared" ca="1" si="37"/>
        <v>NE</v>
      </c>
    </row>
    <row r="1141" spans="1:12" ht="27" thickBot="1">
      <c r="A1141" s="72"/>
      <c r="B1141" s="74"/>
      <c r="C1141" s="71"/>
      <c r="D1141" s="71"/>
      <c r="E1141" s="72"/>
      <c r="F1141" s="70"/>
      <c r="G1141" s="72" t="str">
        <f t="shared" ca="1" si="36"/>
        <v/>
      </c>
      <c r="H1141" s="72"/>
      <c r="I1141" s="71"/>
      <c r="L1141" s="55" t="str">
        <f t="shared" ca="1" si="37"/>
        <v>NE</v>
      </c>
    </row>
    <row r="1142" spans="1:12" ht="27" thickBot="1">
      <c r="A1142" s="72"/>
      <c r="B1142" s="74"/>
      <c r="C1142" s="71"/>
      <c r="D1142" s="71"/>
      <c r="E1142" s="72"/>
      <c r="F1142" s="70"/>
      <c r="G1142" s="72" t="str">
        <f t="shared" ca="1" si="36"/>
        <v/>
      </c>
      <c r="H1142" s="72"/>
      <c r="I1142" s="71"/>
      <c r="L1142" s="55" t="str">
        <f t="shared" ca="1" si="37"/>
        <v>NE</v>
      </c>
    </row>
    <row r="1143" spans="1:12" ht="27" thickBot="1">
      <c r="A1143" s="72"/>
      <c r="B1143" s="74"/>
      <c r="C1143" s="71"/>
      <c r="D1143" s="71"/>
      <c r="E1143" s="72"/>
      <c r="F1143" s="70"/>
      <c r="G1143" s="72" t="str">
        <f t="shared" ca="1" si="36"/>
        <v/>
      </c>
      <c r="H1143" s="72"/>
      <c r="I1143" s="71"/>
      <c r="L1143" s="55" t="str">
        <f t="shared" ca="1" si="37"/>
        <v>NE</v>
      </c>
    </row>
    <row r="1144" spans="1:12" ht="27" thickBot="1">
      <c r="A1144" s="72"/>
      <c r="B1144" s="74"/>
      <c r="C1144" s="71"/>
      <c r="D1144" s="71"/>
      <c r="E1144" s="72"/>
      <c r="F1144" s="70"/>
      <c r="G1144" s="72" t="str">
        <f t="shared" ca="1" si="36"/>
        <v/>
      </c>
      <c r="H1144" s="72"/>
      <c r="I1144" s="71"/>
      <c r="L1144" s="55" t="str">
        <f t="shared" ca="1" si="37"/>
        <v>NE</v>
      </c>
    </row>
    <row r="1145" spans="1:12" ht="27" thickBot="1">
      <c r="A1145" s="72"/>
      <c r="B1145" s="74"/>
      <c r="C1145" s="71"/>
      <c r="D1145" s="71"/>
      <c r="E1145" s="72"/>
      <c r="F1145" s="70"/>
      <c r="G1145" s="72" t="str">
        <f t="shared" ca="1" si="36"/>
        <v/>
      </c>
      <c r="H1145" s="72"/>
      <c r="I1145" s="71"/>
      <c r="L1145" s="55" t="str">
        <f t="shared" ca="1" si="37"/>
        <v>NE</v>
      </c>
    </row>
    <row r="1146" spans="1:12" ht="27" thickBot="1">
      <c r="A1146" s="72"/>
      <c r="B1146" s="74"/>
      <c r="C1146" s="71"/>
      <c r="D1146" s="71"/>
      <c r="E1146" s="72"/>
      <c r="F1146" s="70"/>
      <c r="G1146" s="72" t="str">
        <f t="shared" ca="1" si="36"/>
        <v/>
      </c>
      <c r="H1146" s="72"/>
      <c r="I1146" s="71"/>
      <c r="L1146" s="55" t="str">
        <f t="shared" ca="1" si="37"/>
        <v>NE</v>
      </c>
    </row>
    <row r="1147" spans="1:12" ht="27" thickBot="1">
      <c r="A1147" s="72"/>
      <c r="B1147" s="74"/>
      <c r="C1147" s="71"/>
      <c r="D1147" s="71"/>
      <c r="E1147" s="72"/>
      <c r="F1147" s="70"/>
      <c r="G1147" s="72" t="str">
        <f t="shared" ca="1" si="36"/>
        <v/>
      </c>
      <c r="H1147" s="72"/>
      <c r="I1147" s="71"/>
      <c r="L1147" s="55" t="str">
        <f t="shared" ca="1" si="37"/>
        <v>NE</v>
      </c>
    </row>
    <row r="1148" spans="1:12" ht="27" thickBot="1">
      <c r="A1148" s="72"/>
      <c r="B1148" s="74"/>
      <c r="C1148" s="71"/>
      <c r="D1148" s="71"/>
      <c r="E1148" s="72"/>
      <c r="F1148" s="70"/>
      <c r="G1148" s="72" t="str">
        <f t="shared" ca="1" si="36"/>
        <v/>
      </c>
      <c r="H1148" s="72"/>
      <c r="I1148" s="71"/>
      <c r="L1148" s="55" t="str">
        <f t="shared" ca="1" si="37"/>
        <v>NE</v>
      </c>
    </row>
    <row r="1149" spans="1:12" ht="27" thickBot="1">
      <c r="A1149" s="72"/>
      <c r="B1149" s="74"/>
      <c r="C1149" s="71"/>
      <c r="D1149" s="71"/>
      <c r="E1149" s="72"/>
      <c r="F1149" s="70"/>
      <c r="G1149" s="72" t="str">
        <f t="shared" ca="1" si="36"/>
        <v/>
      </c>
      <c r="H1149" s="72"/>
      <c r="I1149" s="71"/>
      <c r="L1149" s="55" t="str">
        <f t="shared" ca="1" si="37"/>
        <v>NE</v>
      </c>
    </row>
    <row r="1150" spans="1:12" ht="27" thickBot="1">
      <c r="A1150" s="72"/>
      <c r="B1150" s="74"/>
      <c r="C1150" s="71"/>
      <c r="D1150" s="71"/>
      <c r="E1150" s="72"/>
      <c r="F1150" s="70"/>
      <c r="G1150" s="72" t="str">
        <f t="shared" ca="1" si="36"/>
        <v/>
      </c>
      <c r="H1150" s="72"/>
      <c r="I1150" s="71"/>
      <c r="L1150" s="55" t="str">
        <f t="shared" ca="1" si="37"/>
        <v>NE</v>
      </c>
    </row>
    <row r="1151" spans="1:12" ht="27" thickBot="1">
      <c r="A1151" s="72"/>
      <c r="B1151" s="74"/>
      <c r="C1151" s="71"/>
      <c r="D1151" s="71"/>
      <c r="E1151" s="72"/>
      <c r="F1151" s="70"/>
      <c r="G1151" s="72" t="str">
        <f t="shared" ca="1" si="36"/>
        <v/>
      </c>
      <c r="H1151" s="72"/>
      <c r="I1151" s="71"/>
      <c r="L1151" s="55" t="str">
        <f t="shared" ca="1" si="37"/>
        <v>NE</v>
      </c>
    </row>
    <row r="1152" spans="1:12" ht="27" thickBot="1">
      <c r="A1152" s="72"/>
      <c r="B1152" s="74"/>
      <c r="C1152" s="71"/>
      <c r="D1152" s="71"/>
      <c r="E1152" s="72"/>
      <c r="F1152" s="70"/>
      <c r="G1152" s="72" t="str">
        <f t="shared" ca="1" si="36"/>
        <v/>
      </c>
      <c r="H1152" s="72"/>
      <c r="I1152" s="71"/>
      <c r="L1152" s="55" t="str">
        <f t="shared" ca="1" si="37"/>
        <v>NE</v>
      </c>
    </row>
    <row r="1153" spans="1:12" ht="27" thickBot="1">
      <c r="A1153" s="72"/>
      <c r="B1153" s="74"/>
      <c r="C1153" s="71"/>
      <c r="D1153" s="71"/>
      <c r="E1153" s="72"/>
      <c r="F1153" s="70"/>
      <c r="G1153" s="72" t="str">
        <f t="shared" ca="1" si="36"/>
        <v/>
      </c>
      <c r="H1153" s="72"/>
      <c r="I1153" s="71"/>
      <c r="L1153" s="55" t="str">
        <f t="shared" ca="1" si="37"/>
        <v>NE</v>
      </c>
    </row>
    <row r="1154" spans="1:12" ht="27" thickBot="1">
      <c r="A1154" s="72"/>
      <c r="B1154" s="74"/>
      <c r="C1154" s="71"/>
      <c r="D1154" s="71"/>
      <c r="E1154" s="72"/>
      <c r="F1154" s="70"/>
      <c r="G1154" s="72" t="str">
        <f t="shared" ca="1" si="36"/>
        <v/>
      </c>
      <c r="H1154" s="72"/>
      <c r="I1154" s="71"/>
      <c r="L1154" s="55" t="str">
        <f t="shared" ca="1" si="37"/>
        <v>NE</v>
      </c>
    </row>
    <row r="1155" spans="1:12" ht="27" thickBot="1">
      <c r="A1155" s="72"/>
      <c r="B1155" s="74"/>
      <c r="C1155" s="71"/>
      <c r="D1155" s="71"/>
      <c r="E1155" s="72"/>
      <c r="F1155" s="70"/>
      <c r="G1155" s="72" t="str">
        <f t="shared" ca="1" si="36"/>
        <v/>
      </c>
      <c r="H1155" s="72"/>
      <c r="I1155" s="71"/>
      <c r="L1155" s="55" t="str">
        <f t="shared" ca="1" si="37"/>
        <v>NE</v>
      </c>
    </row>
    <row r="1156" spans="1:12" ht="27" thickBot="1">
      <c r="A1156" s="72"/>
      <c r="B1156" s="74"/>
      <c r="C1156" s="71"/>
      <c r="D1156" s="71"/>
      <c r="E1156" s="72"/>
      <c r="F1156" s="70"/>
      <c r="G1156" s="72" t="str">
        <f t="shared" ca="1" si="36"/>
        <v/>
      </c>
      <c r="H1156" s="72"/>
      <c r="I1156" s="71"/>
      <c r="L1156" s="55" t="str">
        <f t="shared" ca="1" si="37"/>
        <v>NE</v>
      </c>
    </row>
    <row r="1157" spans="1:12" ht="27" thickBot="1">
      <c r="A1157" s="72"/>
      <c r="B1157" s="74"/>
      <c r="C1157" s="71"/>
      <c r="D1157" s="71"/>
      <c r="E1157" s="72"/>
      <c r="F1157" s="70"/>
      <c r="G1157" s="72" t="str">
        <f t="shared" ca="1" si="36"/>
        <v/>
      </c>
      <c r="H1157" s="72"/>
      <c r="I1157" s="71"/>
      <c r="L1157" s="55" t="str">
        <f t="shared" ca="1" si="37"/>
        <v>NE</v>
      </c>
    </row>
    <row r="1158" spans="1:12" ht="27" thickBot="1">
      <c r="A1158" s="72"/>
      <c r="B1158" s="74"/>
      <c r="C1158" s="71"/>
      <c r="D1158" s="71"/>
      <c r="E1158" s="72"/>
      <c r="F1158" s="70"/>
      <c r="G1158" s="72" t="str">
        <f t="shared" ca="1" si="36"/>
        <v/>
      </c>
      <c r="H1158" s="72"/>
      <c r="I1158" s="71"/>
      <c r="L1158" s="55" t="str">
        <f t="shared" ca="1" si="37"/>
        <v>NE</v>
      </c>
    </row>
    <row r="1159" spans="1:12" ht="27" thickBot="1">
      <c r="A1159" s="72"/>
      <c r="B1159" s="74"/>
      <c r="C1159" s="71"/>
      <c r="D1159" s="71"/>
      <c r="E1159" s="72"/>
      <c r="F1159" s="70"/>
      <c r="G1159" s="72" t="str">
        <f t="shared" ca="1" si="36"/>
        <v/>
      </c>
      <c r="H1159" s="72"/>
      <c r="I1159" s="71"/>
      <c r="L1159" s="55" t="str">
        <f t="shared" ca="1" si="37"/>
        <v>NE</v>
      </c>
    </row>
    <row r="1160" spans="1:12" ht="27" thickBot="1">
      <c r="A1160" s="72"/>
      <c r="B1160" s="74"/>
      <c r="C1160" s="71"/>
      <c r="D1160" s="71"/>
      <c r="E1160" s="72"/>
      <c r="F1160" s="70"/>
      <c r="G1160" s="72" t="str">
        <f t="shared" ca="1" si="36"/>
        <v/>
      </c>
      <c r="H1160" s="72"/>
      <c r="I1160" s="71"/>
      <c r="L1160" s="55" t="str">
        <f t="shared" ca="1" si="37"/>
        <v>NE</v>
      </c>
    </row>
    <row r="1161" spans="1:12" ht="27" thickBot="1">
      <c r="A1161" s="72"/>
      <c r="B1161" s="74"/>
      <c r="C1161" s="71"/>
      <c r="D1161" s="71"/>
      <c r="E1161" s="72"/>
      <c r="F1161" s="70"/>
      <c r="G1161" s="72" t="str">
        <f t="shared" ca="1" si="36"/>
        <v/>
      </c>
      <c r="H1161" s="72"/>
      <c r="I1161" s="71"/>
      <c r="L1161" s="55" t="str">
        <f t="shared" ca="1" si="37"/>
        <v>NE</v>
      </c>
    </row>
    <row r="1162" spans="1:12" ht="27" thickBot="1">
      <c r="A1162" s="72"/>
      <c r="B1162" s="74"/>
      <c r="C1162" s="71"/>
      <c r="D1162" s="71"/>
      <c r="E1162" s="72"/>
      <c r="F1162" s="70"/>
      <c r="G1162" s="72" t="str">
        <f t="shared" ca="1" si="36"/>
        <v/>
      </c>
      <c r="H1162" s="72"/>
      <c r="I1162" s="71"/>
      <c r="L1162" s="55" t="str">
        <f t="shared" ca="1" si="37"/>
        <v>NE</v>
      </c>
    </row>
    <row r="1163" spans="1:12" ht="27" thickBot="1">
      <c r="A1163" s="72"/>
      <c r="B1163" s="74"/>
      <c r="C1163" s="71"/>
      <c r="D1163" s="71"/>
      <c r="E1163" s="72"/>
      <c r="F1163" s="70"/>
      <c r="G1163" s="72" t="str">
        <f t="shared" ca="1" si="36"/>
        <v/>
      </c>
      <c r="H1163" s="72"/>
      <c r="I1163" s="71"/>
      <c r="L1163" s="55" t="str">
        <f t="shared" ca="1" si="37"/>
        <v>NE</v>
      </c>
    </row>
    <row r="1164" spans="1:12" ht="27" thickBot="1">
      <c r="A1164" s="72"/>
      <c r="B1164" s="74"/>
      <c r="C1164" s="71"/>
      <c r="D1164" s="71"/>
      <c r="E1164" s="72"/>
      <c r="F1164" s="70"/>
      <c r="G1164" s="72" t="str">
        <f t="shared" ca="1" si="36"/>
        <v/>
      </c>
      <c r="H1164" s="72"/>
      <c r="I1164" s="71"/>
      <c r="L1164" s="55" t="str">
        <f t="shared" ca="1" si="37"/>
        <v>NE</v>
      </c>
    </row>
    <row r="1165" spans="1:12" ht="27" thickBot="1">
      <c r="A1165" s="72"/>
      <c r="B1165" s="74"/>
      <c r="C1165" s="71"/>
      <c r="D1165" s="71"/>
      <c r="E1165" s="72"/>
      <c r="F1165" s="70"/>
      <c r="G1165" s="72" t="str">
        <f t="shared" ca="1" si="36"/>
        <v/>
      </c>
      <c r="H1165" s="72"/>
      <c r="I1165" s="71"/>
      <c r="L1165" s="55" t="str">
        <f t="shared" ca="1" si="37"/>
        <v>NE</v>
      </c>
    </row>
    <row r="1166" spans="1:12" ht="27" thickBot="1">
      <c r="A1166" s="72"/>
      <c r="B1166" s="74"/>
      <c r="C1166" s="71"/>
      <c r="D1166" s="71"/>
      <c r="E1166" s="72"/>
      <c r="F1166" s="70"/>
      <c r="G1166" s="72" t="str">
        <f t="shared" ca="1" si="36"/>
        <v/>
      </c>
      <c r="H1166" s="72"/>
      <c r="I1166" s="71"/>
      <c r="L1166" s="55" t="str">
        <f t="shared" ca="1" si="37"/>
        <v>NE</v>
      </c>
    </row>
    <row r="1167" spans="1:12" ht="27" thickBot="1">
      <c r="A1167" s="72"/>
      <c r="B1167" s="74"/>
      <c r="C1167" s="71"/>
      <c r="D1167" s="71"/>
      <c r="E1167" s="72"/>
      <c r="F1167" s="70"/>
      <c r="G1167" s="72" t="str">
        <f t="shared" ca="1" si="36"/>
        <v/>
      </c>
      <c r="H1167" s="72"/>
      <c r="I1167" s="71"/>
      <c r="L1167" s="55" t="str">
        <f t="shared" ca="1" si="37"/>
        <v>NE</v>
      </c>
    </row>
    <row r="1168" spans="1:12" ht="27" thickBot="1">
      <c r="A1168" s="72"/>
      <c r="B1168" s="74"/>
      <c r="C1168" s="71"/>
      <c r="D1168" s="71"/>
      <c r="E1168" s="72"/>
      <c r="F1168" s="70"/>
      <c r="G1168" s="72" t="str">
        <f t="shared" ca="1" si="36"/>
        <v/>
      </c>
      <c r="H1168" s="72"/>
      <c r="I1168" s="71"/>
      <c r="L1168" s="55" t="str">
        <f t="shared" ca="1" si="37"/>
        <v>NE</v>
      </c>
    </row>
    <row r="1169" spans="1:12" ht="27" thickBot="1">
      <c r="A1169" s="72"/>
      <c r="B1169" s="74"/>
      <c r="C1169" s="71"/>
      <c r="D1169" s="71"/>
      <c r="E1169" s="72"/>
      <c r="F1169" s="70"/>
      <c r="G1169" s="72" t="str">
        <f t="shared" ca="1" si="36"/>
        <v/>
      </c>
      <c r="H1169" s="72"/>
      <c r="I1169" s="71"/>
      <c r="L1169" s="55" t="str">
        <f t="shared" ca="1" si="37"/>
        <v>NE</v>
      </c>
    </row>
    <row r="1170" spans="1:12" ht="27" thickBot="1">
      <c r="A1170" s="72"/>
      <c r="B1170" s="74"/>
      <c r="C1170" s="71"/>
      <c r="D1170" s="71"/>
      <c r="E1170" s="72"/>
      <c r="F1170" s="70"/>
      <c r="G1170" s="72" t="str">
        <f t="shared" ca="1" si="36"/>
        <v/>
      </c>
      <c r="H1170" s="72"/>
      <c r="I1170" s="71"/>
      <c r="L1170" s="55" t="str">
        <f t="shared" ca="1" si="37"/>
        <v>NE</v>
      </c>
    </row>
    <row r="1171" spans="1:12" ht="27" thickBot="1">
      <c r="A1171" s="72"/>
      <c r="B1171" s="74"/>
      <c r="C1171" s="71"/>
      <c r="D1171" s="71"/>
      <c r="E1171" s="72"/>
      <c r="F1171" s="70"/>
      <c r="G1171" s="72" t="str">
        <f t="shared" ca="1" si="36"/>
        <v/>
      </c>
      <c r="H1171" s="72"/>
      <c r="I1171" s="71"/>
      <c r="L1171" s="55" t="str">
        <f t="shared" ca="1" si="37"/>
        <v>NE</v>
      </c>
    </row>
    <row r="1172" spans="1:12" ht="27" thickBot="1">
      <c r="A1172" s="72"/>
      <c r="B1172" s="74"/>
      <c r="C1172" s="71"/>
      <c r="D1172" s="71"/>
      <c r="E1172" s="72"/>
      <c r="F1172" s="70"/>
      <c r="G1172" s="72" t="str">
        <f t="shared" ca="1" si="36"/>
        <v/>
      </c>
      <c r="H1172" s="72"/>
      <c r="I1172" s="71"/>
      <c r="L1172" s="55" t="str">
        <f t="shared" ca="1" si="37"/>
        <v>NE</v>
      </c>
    </row>
    <row r="1173" spans="1:12" ht="27" thickBot="1">
      <c r="A1173" s="72"/>
      <c r="B1173" s="74"/>
      <c r="C1173" s="71"/>
      <c r="D1173" s="71"/>
      <c r="E1173" s="72"/>
      <c r="F1173" s="70"/>
      <c r="G1173" s="72" t="str">
        <f t="shared" ca="1" si="36"/>
        <v/>
      </c>
      <c r="H1173" s="72"/>
      <c r="I1173" s="71"/>
      <c r="L1173" s="55" t="str">
        <f t="shared" ca="1" si="37"/>
        <v>NE</v>
      </c>
    </row>
    <row r="1174" spans="1:12" ht="27" thickBot="1">
      <c r="A1174" s="72"/>
      <c r="B1174" s="74"/>
      <c r="C1174" s="71"/>
      <c r="D1174" s="71"/>
      <c r="E1174" s="72"/>
      <c r="F1174" s="70"/>
      <c r="G1174" s="72" t="str">
        <f t="shared" ca="1" si="36"/>
        <v/>
      </c>
      <c r="H1174" s="72"/>
      <c r="I1174" s="71"/>
      <c r="L1174" s="55" t="str">
        <f t="shared" ca="1" si="37"/>
        <v>NE</v>
      </c>
    </row>
    <row r="1175" spans="1:12" ht="27" thickBot="1">
      <c r="A1175" s="72"/>
      <c r="B1175" s="74"/>
      <c r="C1175" s="71"/>
      <c r="D1175" s="71"/>
      <c r="E1175" s="72"/>
      <c r="F1175" s="70"/>
      <c r="G1175" s="72" t="str">
        <f t="shared" ca="1" si="36"/>
        <v/>
      </c>
      <c r="H1175" s="72"/>
      <c r="I1175" s="71"/>
      <c r="L1175" s="55" t="str">
        <f t="shared" ca="1" si="37"/>
        <v>NE</v>
      </c>
    </row>
    <row r="1176" spans="1:12" ht="27" thickBot="1">
      <c r="A1176" s="72"/>
      <c r="B1176" s="74"/>
      <c r="C1176" s="71"/>
      <c r="D1176" s="71"/>
      <c r="E1176" s="72"/>
      <c r="F1176" s="70"/>
      <c r="G1176" s="72" t="str">
        <f t="shared" ca="1" si="36"/>
        <v/>
      </c>
      <c r="H1176" s="72"/>
      <c r="I1176" s="71"/>
      <c r="L1176" s="55" t="str">
        <f t="shared" ca="1" si="37"/>
        <v>NE</v>
      </c>
    </row>
    <row r="1177" spans="1:12" ht="27" thickBot="1">
      <c r="A1177" s="72"/>
      <c r="B1177" s="74"/>
      <c r="C1177" s="71"/>
      <c r="D1177" s="71"/>
      <c r="E1177" s="72"/>
      <c r="F1177" s="70"/>
      <c r="G1177" s="72" t="str">
        <f t="shared" ca="1" si="36"/>
        <v/>
      </c>
      <c r="H1177" s="72"/>
      <c r="I1177" s="71"/>
      <c r="L1177" s="55" t="str">
        <f t="shared" ca="1" si="37"/>
        <v>NE</v>
      </c>
    </row>
    <row r="1178" spans="1:12" ht="27" thickBot="1">
      <c r="A1178" s="72"/>
      <c r="B1178" s="74"/>
      <c r="C1178" s="71"/>
      <c r="D1178" s="71"/>
      <c r="E1178" s="72"/>
      <c r="F1178" s="70"/>
      <c r="G1178" s="72" t="str">
        <f t="shared" ca="1" si="36"/>
        <v/>
      </c>
      <c r="H1178" s="72"/>
      <c r="I1178" s="71"/>
      <c r="L1178" s="55" t="str">
        <f t="shared" ca="1" si="37"/>
        <v>NE</v>
      </c>
    </row>
    <row r="1179" spans="1:12" ht="27" thickBot="1">
      <c r="A1179" s="72"/>
      <c r="B1179" s="74"/>
      <c r="C1179" s="71"/>
      <c r="D1179" s="71"/>
      <c r="E1179" s="72"/>
      <c r="F1179" s="70"/>
      <c r="G1179" s="72" t="str">
        <f t="shared" ca="1" si="36"/>
        <v/>
      </c>
      <c r="H1179" s="72"/>
      <c r="I1179" s="71"/>
      <c r="L1179" s="55" t="str">
        <f t="shared" ca="1" si="37"/>
        <v>NE</v>
      </c>
    </row>
    <row r="1180" spans="1:12" ht="27" thickBot="1">
      <c r="A1180" s="72"/>
      <c r="B1180" s="74"/>
      <c r="C1180" s="71"/>
      <c r="D1180" s="71"/>
      <c r="E1180" s="72"/>
      <c r="F1180" s="70"/>
      <c r="G1180" s="72" t="str">
        <f t="shared" ca="1" si="36"/>
        <v/>
      </c>
      <c r="H1180" s="72"/>
      <c r="I1180" s="71"/>
      <c r="L1180" s="55" t="str">
        <f t="shared" ca="1" si="37"/>
        <v>NE</v>
      </c>
    </row>
    <row r="1181" spans="1:12" ht="27" thickBot="1">
      <c r="A1181" s="72"/>
      <c r="B1181" s="74"/>
      <c r="C1181" s="71"/>
      <c r="D1181" s="71"/>
      <c r="E1181" s="72"/>
      <c r="F1181" s="70"/>
      <c r="G1181" s="72" t="str">
        <f t="shared" ca="1" si="36"/>
        <v/>
      </c>
      <c r="H1181" s="72"/>
      <c r="I1181" s="71"/>
      <c r="L1181" s="55" t="str">
        <f t="shared" ca="1" si="37"/>
        <v>NE</v>
      </c>
    </row>
    <row r="1182" spans="1:12" ht="27" thickBot="1">
      <c r="A1182" s="72"/>
      <c r="B1182" s="74"/>
      <c r="C1182" s="71"/>
      <c r="D1182" s="71"/>
      <c r="E1182" s="72"/>
      <c r="F1182" s="70"/>
      <c r="G1182" s="72" t="str">
        <f t="shared" ca="1" si="36"/>
        <v/>
      </c>
      <c r="H1182" s="72"/>
      <c r="I1182" s="71"/>
      <c r="L1182" s="55" t="str">
        <f t="shared" ca="1" si="37"/>
        <v>NE</v>
      </c>
    </row>
    <row r="1183" spans="1:12" ht="27" thickBot="1">
      <c r="A1183" s="72"/>
      <c r="B1183" s="74"/>
      <c r="C1183" s="71"/>
      <c r="D1183" s="71"/>
      <c r="E1183" s="72"/>
      <c r="F1183" s="70"/>
      <c r="G1183" s="72" t="str">
        <f t="shared" ca="1" si="36"/>
        <v/>
      </c>
      <c r="H1183" s="72"/>
      <c r="I1183" s="71"/>
      <c r="L1183" s="55" t="str">
        <f t="shared" ca="1" si="37"/>
        <v>NE</v>
      </c>
    </row>
    <row r="1184" spans="1:12" ht="27" thickBot="1">
      <c r="A1184" s="72"/>
      <c r="B1184" s="74"/>
      <c r="C1184" s="71"/>
      <c r="D1184" s="71"/>
      <c r="E1184" s="72"/>
      <c r="F1184" s="70"/>
      <c r="G1184" s="72" t="str">
        <f t="shared" ca="1" si="36"/>
        <v/>
      </c>
      <c r="H1184" s="72"/>
      <c r="I1184" s="71"/>
      <c r="L1184" s="55" t="str">
        <f t="shared" ca="1" si="37"/>
        <v>NE</v>
      </c>
    </row>
    <row r="1185" spans="1:12" ht="27" thickBot="1">
      <c r="A1185" s="72"/>
      <c r="B1185" s="74"/>
      <c r="C1185" s="71"/>
      <c r="D1185" s="71"/>
      <c r="E1185" s="72"/>
      <c r="F1185" s="70"/>
      <c r="G1185" s="72" t="str">
        <f t="shared" ca="1" si="36"/>
        <v/>
      </c>
      <c r="H1185" s="72"/>
      <c r="I1185" s="71"/>
      <c r="L1185" s="55" t="str">
        <f t="shared" ca="1" si="37"/>
        <v>NE</v>
      </c>
    </row>
    <row r="1186" spans="1:12" ht="27" thickBot="1">
      <c r="A1186" s="72"/>
      <c r="B1186" s="74"/>
      <c r="C1186" s="71"/>
      <c r="D1186" s="71"/>
      <c r="E1186" s="72"/>
      <c r="F1186" s="70"/>
      <c r="G1186" s="72" t="str">
        <f t="shared" ca="1" si="36"/>
        <v/>
      </c>
      <c r="H1186" s="72"/>
      <c r="I1186" s="71"/>
      <c r="L1186" s="55" t="str">
        <f t="shared" ca="1" si="37"/>
        <v>NE</v>
      </c>
    </row>
    <row r="1187" spans="1:12" ht="27" thickBot="1">
      <c r="A1187" s="72"/>
      <c r="B1187" s="74"/>
      <c r="C1187" s="71"/>
      <c r="D1187" s="71"/>
      <c r="E1187" s="72"/>
      <c r="F1187" s="70"/>
      <c r="G1187" s="72" t="str">
        <f t="shared" ca="1" si="36"/>
        <v/>
      </c>
      <c r="H1187" s="72"/>
      <c r="I1187" s="71"/>
      <c r="L1187" s="55" t="str">
        <f t="shared" ca="1" si="37"/>
        <v>NE</v>
      </c>
    </row>
    <row r="1188" spans="1:12" ht="27" thickBot="1">
      <c r="A1188" s="72"/>
      <c r="B1188" s="74"/>
      <c r="C1188" s="71"/>
      <c r="D1188" s="71"/>
      <c r="E1188" s="72"/>
      <c r="F1188" s="70"/>
      <c r="G1188" s="72" t="str">
        <f t="shared" ca="1" si="36"/>
        <v/>
      </c>
      <c r="H1188" s="72"/>
      <c r="I1188" s="71"/>
      <c r="L1188" s="55" t="str">
        <f t="shared" ca="1" si="37"/>
        <v>NE</v>
      </c>
    </row>
    <row r="1189" spans="1:12" ht="27" thickBot="1">
      <c r="A1189" s="72"/>
      <c r="B1189" s="74"/>
      <c r="C1189" s="71"/>
      <c r="D1189" s="71"/>
      <c r="E1189" s="72"/>
      <c r="F1189" s="70"/>
      <c r="G1189" s="72" t="str">
        <f t="shared" ca="1" si="36"/>
        <v/>
      </c>
      <c r="H1189" s="72"/>
      <c r="I1189" s="71"/>
      <c r="L1189" s="55" t="str">
        <f t="shared" ca="1" si="37"/>
        <v>NE</v>
      </c>
    </row>
    <row r="1190" spans="1:12" ht="27" thickBot="1">
      <c r="A1190" s="72"/>
      <c r="B1190" s="74"/>
      <c r="C1190" s="71"/>
      <c r="D1190" s="71"/>
      <c r="E1190" s="72"/>
      <c r="F1190" s="70"/>
      <c r="G1190" s="72" t="str">
        <f t="shared" ca="1" si="36"/>
        <v/>
      </c>
      <c r="H1190" s="72"/>
      <c r="I1190" s="71"/>
      <c r="L1190" s="55" t="str">
        <f t="shared" ca="1" si="37"/>
        <v>NE</v>
      </c>
    </row>
    <row r="1191" spans="1:12" ht="27" thickBot="1">
      <c r="A1191" s="72"/>
      <c r="B1191" s="74"/>
      <c r="C1191" s="71"/>
      <c r="D1191" s="71"/>
      <c r="E1191" s="72"/>
      <c r="F1191" s="70"/>
      <c r="G1191" s="72" t="str">
        <f t="shared" ca="1" si="36"/>
        <v/>
      </c>
      <c r="H1191" s="72"/>
      <c r="I1191" s="71"/>
      <c r="L1191" s="55" t="str">
        <f t="shared" ca="1" si="37"/>
        <v>NE</v>
      </c>
    </row>
    <row r="1192" spans="1:12" ht="27" thickBot="1">
      <c r="A1192" s="72"/>
      <c r="B1192" s="74"/>
      <c r="C1192" s="71"/>
      <c r="D1192" s="71"/>
      <c r="E1192" s="72"/>
      <c r="F1192" s="70"/>
      <c r="G1192" s="72" t="str">
        <f t="shared" ca="1" si="36"/>
        <v/>
      </c>
      <c r="H1192" s="72"/>
      <c r="I1192" s="71"/>
      <c r="L1192" s="55" t="str">
        <f t="shared" ca="1" si="37"/>
        <v>NE</v>
      </c>
    </row>
    <row r="1193" spans="1:12" ht="27" thickBot="1">
      <c r="A1193" s="72"/>
      <c r="B1193" s="74"/>
      <c r="C1193" s="71"/>
      <c r="D1193" s="71"/>
      <c r="E1193" s="72"/>
      <c r="F1193" s="70"/>
      <c r="G1193" s="72" t="str">
        <f t="shared" ca="1" si="36"/>
        <v/>
      </c>
      <c r="H1193" s="72"/>
      <c r="I1193" s="71"/>
      <c r="L1193" s="55" t="str">
        <f t="shared" ca="1" si="37"/>
        <v>NE</v>
      </c>
    </row>
    <row r="1194" spans="1:12" ht="27" thickBot="1">
      <c r="A1194" s="72"/>
      <c r="B1194" s="74"/>
      <c r="C1194" s="71"/>
      <c r="D1194" s="71"/>
      <c r="E1194" s="72"/>
      <c r="F1194" s="70"/>
      <c r="G1194" s="72" t="str">
        <f t="shared" ca="1" si="36"/>
        <v/>
      </c>
      <c r="H1194" s="72"/>
      <c r="I1194" s="71"/>
      <c r="L1194" s="55" t="str">
        <f t="shared" ca="1" si="37"/>
        <v>NE</v>
      </c>
    </row>
    <row r="1195" spans="1:12" ht="27" thickBot="1">
      <c r="A1195" s="72"/>
      <c r="B1195" s="74"/>
      <c r="C1195" s="71"/>
      <c r="D1195" s="71"/>
      <c r="E1195" s="72"/>
      <c r="F1195" s="70"/>
      <c r="G1195" s="72" t="str">
        <f t="shared" ca="1" si="36"/>
        <v/>
      </c>
      <c r="H1195" s="72"/>
      <c r="I1195" s="71"/>
      <c r="L1195" s="55" t="str">
        <f t="shared" ca="1" si="37"/>
        <v>NE</v>
      </c>
    </row>
    <row r="1196" spans="1:12" ht="27" thickBot="1">
      <c r="A1196" s="72"/>
      <c r="B1196" s="74"/>
      <c r="C1196" s="71"/>
      <c r="D1196" s="71"/>
      <c r="E1196" s="72"/>
      <c r="F1196" s="70"/>
      <c r="G1196" s="72" t="str">
        <f t="shared" ca="1" si="36"/>
        <v/>
      </c>
      <c r="H1196" s="72"/>
      <c r="I1196" s="71"/>
      <c r="L1196" s="55" t="str">
        <f t="shared" ca="1" si="37"/>
        <v>NE</v>
      </c>
    </row>
    <row r="1197" spans="1:12" ht="27" thickBot="1">
      <c r="A1197" s="72"/>
      <c r="B1197" s="74"/>
      <c r="C1197" s="71"/>
      <c r="D1197" s="71"/>
      <c r="E1197" s="72"/>
      <c r="F1197" s="70"/>
      <c r="G1197" s="72" t="str">
        <f t="shared" ca="1" si="36"/>
        <v/>
      </c>
      <c r="H1197" s="72"/>
      <c r="I1197" s="71"/>
      <c r="L1197" s="55" t="str">
        <f t="shared" ca="1" si="37"/>
        <v>NE</v>
      </c>
    </row>
    <row r="1198" spans="1:12" ht="27" thickBot="1">
      <c r="A1198" s="72"/>
      <c r="B1198" s="74"/>
      <c r="C1198" s="71"/>
      <c r="D1198" s="71"/>
      <c r="E1198" s="72"/>
      <c r="F1198" s="70"/>
      <c r="G1198" s="72" t="str">
        <f t="shared" ref="G1198:G1261" ca="1" si="38">IF(ISBLANK(F1198),"",IF(F1198&gt;=TODAY(), "Non Echue", "Echue"))</f>
        <v/>
      </c>
      <c r="H1198" s="72"/>
      <c r="I1198" s="71"/>
      <c r="L1198" s="55" t="str">
        <f t="shared" ref="L1198:L1261" ca="1" si="39" xml:space="preserve"> IF(G1198 = "Echue",IF(H1198 = "Appliqué","EAP","NAP"),"NE")</f>
        <v>NE</v>
      </c>
    </row>
    <row r="1199" spans="1:12" ht="27" thickBot="1">
      <c r="A1199" s="72"/>
      <c r="B1199" s="74"/>
      <c r="C1199" s="71"/>
      <c r="D1199" s="71"/>
      <c r="E1199" s="72"/>
      <c r="F1199" s="70"/>
      <c r="G1199" s="72" t="str">
        <f t="shared" ca="1" si="38"/>
        <v/>
      </c>
      <c r="H1199" s="72"/>
      <c r="I1199" s="71"/>
      <c r="L1199" s="55" t="str">
        <f t="shared" ca="1" si="39"/>
        <v>NE</v>
      </c>
    </row>
    <row r="1200" spans="1:12" ht="27" thickBot="1">
      <c r="A1200" s="72"/>
      <c r="B1200" s="74"/>
      <c r="C1200" s="71"/>
      <c r="D1200" s="71"/>
      <c r="E1200" s="72"/>
      <c r="F1200" s="70"/>
      <c r="G1200" s="72" t="str">
        <f t="shared" ca="1" si="38"/>
        <v/>
      </c>
      <c r="H1200" s="72"/>
      <c r="I1200" s="71"/>
      <c r="L1200" s="55" t="str">
        <f t="shared" ca="1" si="39"/>
        <v>NE</v>
      </c>
    </row>
    <row r="1201" spans="1:12" ht="27" thickBot="1">
      <c r="A1201" s="72"/>
      <c r="B1201" s="74"/>
      <c r="C1201" s="71"/>
      <c r="D1201" s="71"/>
      <c r="E1201" s="72"/>
      <c r="F1201" s="70"/>
      <c r="G1201" s="72" t="str">
        <f t="shared" ca="1" si="38"/>
        <v/>
      </c>
      <c r="H1201" s="72"/>
      <c r="I1201" s="71"/>
      <c r="L1201" s="55" t="str">
        <f t="shared" ca="1" si="39"/>
        <v>NE</v>
      </c>
    </row>
    <row r="1202" spans="1:12" ht="27" thickBot="1">
      <c r="A1202" s="72"/>
      <c r="B1202" s="74"/>
      <c r="C1202" s="71"/>
      <c r="D1202" s="71"/>
      <c r="E1202" s="72"/>
      <c r="F1202" s="70"/>
      <c r="G1202" s="72" t="str">
        <f t="shared" ca="1" si="38"/>
        <v/>
      </c>
      <c r="H1202" s="72"/>
      <c r="I1202" s="71"/>
      <c r="L1202" s="55" t="str">
        <f t="shared" ca="1" si="39"/>
        <v>NE</v>
      </c>
    </row>
    <row r="1203" spans="1:12" ht="27" thickBot="1">
      <c r="A1203" s="72"/>
      <c r="B1203" s="74"/>
      <c r="C1203" s="71"/>
      <c r="D1203" s="71"/>
      <c r="E1203" s="72"/>
      <c r="F1203" s="70"/>
      <c r="G1203" s="72" t="str">
        <f t="shared" ca="1" si="38"/>
        <v/>
      </c>
      <c r="H1203" s="72"/>
      <c r="I1203" s="71"/>
      <c r="L1203" s="55" t="str">
        <f t="shared" ca="1" si="39"/>
        <v>NE</v>
      </c>
    </row>
    <row r="1204" spans="1:12" ht="27" thickBot="1">
      <c r="A1204" s="72"/>
      <c r="B1204" s="74"/>
      <c r="C1204" s="71"/>
      <c r="D1204" s="71"/>
      <c r="E1204" s="72"/>
      <c r="F1204" s="70"/>
      <c r="G1204" s="72" t="str">
        <f t="shared" ca="1" si="38"/>
        <v/>
      </c>
      <c r="H1204" s="72"/>
      <c r="I1204" s="71"/>
      <c r="L1204" s="55" t="str">
        <f t="shared" ca="1" si="39"/>
        <v>NE</v>
      </c>
    </row>
    <row r="1205" spans="1:12" ht="27" thickBot="1">
      <c r="A1205" s="72"/>
      <c r="B1205" s="74"/>
      <c r="C1205" s="71"/>
      <c r="D1205" s="71"/>
      <c r="E1205" s="72"/>
      <c r="F1205" s="70"/>
      <c r="G1205" s="72" t="str">
        <f t="shared" ca="1" si="38"/>
        <v/>
      </c>
      <c r="H1205" s="72"/>
      <c r="I1205" s="71"/>
      <c r="L1205" s="55" t="str">
        <f t="shared" ca="1" si="39"/>
        <v>NE</v>
      </c>
    </row>
    <row r="1206" spans="1:12" ht="27" thickBot="1">
      <c r="A1206" s="72"/>
      <c r="B1206" s="74"/>
      <c r="C1206" s="71"/>
      <c r="D1206" s="71"/>
      <c r="E1206" s="72"/>
      <c r="F1206" s="70"/>
      <c r="G1206" s="72" t="str">
        <f t="shared" ca="1" si="38"/>
        <v/>
      </c>
      <c r="H1206" s="72"/>
      <c r="I1206" s="71"/>
      <c r="L1206" s="55" t="str">
        <f t="shared" ca="1" si="39"/>
        <v>NE</v>
      </c>
    </row>
    <row r="1207" spans="1:12" ht="27" thickBot="1">
      <c r="A1207" s="72"/>
      <c r="B1207" s="74"/>
      <c r="C1207" s="71"/>
      <c r="D1207" s="71"/>
      <c r="E1207" s="72"/>
      <c r="F1207" s="70"/>
      <c r="G1207" s="72" t="str">
        <f t="shared" ca="1" si="38"/>
        <v/>
      </c>
      <c r="H1207" s="72"/>
      <c r="I1207" s="71"/>
      <c r="L1207" s="55" t="str">
        <f t="shared" ca="1" si="39"/>
        <v>NE</v>
      </c>
    </row>
    <row r="1208" spans="1:12" ht="27" thickBot="1">
      <c r="A1208" s="72"/>
      <c r="B1208" s="74"/>
      <c r="C1208" s="71"/>
      <c r="D1208" s="71"/>
      <c r="E1208" s="72"/>
      <c r="F1208" s="70"/>
      <c r="G1208" s="72" t="str">
        <f t="shared" ca="1" si="38"/>
        <v/>
      </c>
      <c r="H1208" s="72"/>
      <c r="I1208" s="71"/>
      <c r="L1208" s="55" t="str">
        <f t="shared" ca="1" si="39"/>
        <v>NE</v>
      </c>
    </row>
    <row r="1209" spans="1:12" ht="27" thickBot="1">
      <c r="A1209" s="72"/>
      <c r="B1209" s="74"/>
      <c r="C1209" s="71"/>
      <c r="D1209" s="71"/>
      <c r="E1209" s="72"/>
      <c r="F1209" s="70"/>
      <c r="G1209" s="72" t="str">
        <f t="shared" ca="1" si="38"/>
        <v/>
      </c>
      <c r="H1209" s="72"/>
      <c r="I1209" s="71"/>
      <c r="L1209" s="55" t="str">
        <f t="shared" ca="1" si="39"/>
        <v>NE</v>
      </c>
    </row>
    <row r="1210" spans="1:12" ht="27" thickBot="1">
      <c r="A1210" s="72"/>
      <c r="B1210" s="74"/>
      <c r="C1210" s="71"/>
      <c r="D1210" s="71"/>
      <c r="E1210" s="72"/>
      <c r="F1210" s="70"/>
      <c r="G1210" s="72" t="str">
        <f t="shared" ca="1" si="38"/>
        <v/>
      </c>
      <c r="H1210" s="72"/>
      <c r="I1210" s="71"/>
      <c r="L1210" s="55" t="str">
        <f t="shared" ca="1" si="39"/>
        <v>NE</v>
      </c>
    </row>
    <row r="1211" spans="1:12" ht="27" thickBot="1">
      <c r="A1211" s="72"/>
      <c r="B1211" s="74"/>
      <c r="C1211" s="71"/>
      <c r="D1211" s="71"/>
      <c r="E1211" s="72"/>
      <c r="F1211" s="70"/>
      <c r="G1211" s="72" t="str">
        <f t="shared" ca="1" si="38"/>
        <v/>
      </c>
      <c r="H1211" s="72"/>
      <c r="I1211" s="71"/>
      <c r="L1211" s="55" t="str">
        <f t="shared" ca="1" si="39"/>
        <v>NE</v>
      </c>
    </row>
    <row r="1212" spans="1:12" ht="27" thickBot="1">
      <c r="A1212" s="72"/>
      <c r="B1212" s="74"/>
      <c r="C1212" s="71"/>
      <c r="D1212" s="71"/>
      <c r="E1212" s="72"/>
      <c r="F1212" s="70"/>
      <c r="G1212" s="72" t="str">
        <f t="shared" ca="1" si="38"/>
        <v/>
      </c>
      <c r="H1212" s="72"/>
      <c r="I1212" s="71"/>
      <c r="L1212" s="55" t="str">
        <f t="shared" ca="1" si="39"/>
        <v>NE</v>
      </c>
    </row>
    <row r="1213" spans="1:12" ht="27" thickBot="1">
      <c r="A1213" s="72"/>
      <c r="B1213" s="74"/>
      <c r="C1213" s="71"/>
      <c r="D1213" s="71"/>
      <c r="E1213" s="72"/>
      <c r="F1213" s="70"/>
      <c r="G1213" s="72" t="str">
        <f t="shared" ca="1" si="38"/>
        <v/>
      </c>
      <c r="H1213" s="72"/>
      <c r="I1213" s="71"/>
      <c r="L1213" s="55" t="str">
        <f t="shared" ca="1" si="39"/>
        <v>NE</v>
      </c>
    </row>
    <row r="1214" spans="1:12" ht="27" thickBot="1">
      <c r="A1214" s="72"/>
      <c r="B1214" s="74"/>
      <c r="C1214" s="71"/>
      <c r="D1214" s="71"/>
      <c r="E1214" s="72"/>
      <c r="F1214" s="70"/>
      <c r="G1214" s="72" t="str">
        <f t="shared" ca="1" si="38"/>
        <v/>
      </c>
      <c r="H1214" s="72"/>
      <c r="I1214" s="71"/>
      <c r="L1214" s="55" t="str">
        <f t="shared" ca="1" si="39"/>
        <v>NE</v>
      </c>
    </row>
    <row r="1215" spans="1:12" ht="27" thickBot="1">
      <c r="A1215" s="72"/>
      <c r="B1215" s="74"/>
      <c r="C1215" s="71"/>
      <c r="D1215" s="71"/>
      <c r="E1215" s="72"/>
      <c r="F1215" s="70"/>
      <c r="G1215" s="72" t="str">
        <f t="shared" ca="1" si="38"/>
        <v/>
      </c>
      <c r="H1215" s="72"/>
      <c r="I1215" s="71"/>
      <c r="L1215" s="55" t="str">
        <f t="shared" ca="1" si="39"/>
        <v>NE</v>
      </c>
    </row>
    <row r="1216" spans="1:12" ht="27" thickBot="1">
      <c r="A1216" s="72"/>
      <c r="B1216" s="74"/>
      <c r="C1216" s="71"/>
      <c r="D1216" s="71"/>
      <c r="E1216" s="72"/>
      <c r="F1216" s="70"/>
      <c r="G1216" s="72" t="str">
        <f t="shared" ca="1" si="38"/>
        <v/>
      </c>
      <c r="H1216" s="72"/>
      <c r="I1216" s="71"/>
      <c r="L1216" s="55" t="str">
        <f t="shared" ca="1" si="39"/>
        <v>NE</v>
      </c>
    </row>
    <row r="1217" spans="1:12" ht="27" thickBot="1">
      <c r="A1217" s="72"/>
      <c r="B1217" s="74"/>
      <c r="C1217" s="71"/>
      <c r="D1217" s="71"/>
      <c r="E1217" s="72"/>
      <c r="F1217" s="70"/>
      <c r="G1217" s="72" t="str">
        <f t="shared" ca="1" si="38"/>
        <v/>
      </c>
      <c r="H1217" s="72"/>
      <c r="I1217" s="71"/>
      <c r="L1217" s="55" t="str">
        <f t="shared" ca="1" si="39"/>
        <v>NE</v>
      </c>
    </row>
    <row r="1218" spans="1:12" ht="27" thickBot="1">
      <c r="A1218" s="72"/>
      <c r="B1218" s="74"/>
      <c r="C1218" s="71"/>
      <c r="D1218" s="71"/>
      <c r="E1218" s="72"/>
      <c r="F1218" s="70"/>
      <c r="G1218" s="72" t="str">
        <f t="shared" ca="1" si="38"/>
        <v/>
      </c>
      <c r="H1218" s="72"/>
      <c r="I1218" s="71"/>
      <c r="L1218" s="55" t="str">
        <f t="shared" ca="1" si="39"/>
        <v>NE</v>
      </c>
    </row>
    <row r="1219" spans="1:12" ht="27" thickBot="1">
      <c r="A1219" s="72"/>
      <c r="B1219" s="74"/>
      <c r="C1219" s="71"/>
      <c r="D1219" s="71"/>
      <c r="E1219" s="72"/>
      <c r="F1219" s="70"/>
      <c r="G1219" s="72" t="str">
        <f t="shared" ca="1" si="38"/>
        <v/>
      </c>
      <c r="H1219" s="72"/>
      <c r="I1219" s="71"/>
      <c r="L1219" s="55" t="str">
        <f t="shared" ca="1" si="39"/>
        <v>NE</v>
      </c>
    </row>
    <row r="1220" spans="1:12" ht="27" thickBot="1">
      <c r="A1220" s="72"/>
      <c r="B1220" s="74"/>
      <c r="C1220" s="71"/>
      <c r="D1220" s="71"/>
      <c r="E1220" s="72"/>
      <c r="F1220" s="70"/>
      <c r="G1220" s="72" t="str">
        <f t="shared" ca="1" si="38"/>
        <v/>
      </c>
      <c r="H1220" s="72"/>
      <c r="I1220" s="71"/>
      <c r="L1220" s="55" t="str">
        <f t="shared" ca="1" si="39"/>
        <v>NE</v>
      </c>
    </row>
    <row r="1221" spans="1:12" ht="27" thickBot="1">
      <c r="A1221" s="72"/>
      <c r="B1221" s="74"/>
      <c r="C1221" s="71"/>
      <c r="D1221" s="71"/>
      <c r="E1221" s="72"/>
      <c r="F1221" s="70"/>
      <c r="G1221" s="72" t="str">
        <f t="shared" ca="1" si="38"/>
        <v/>
      </c>
      <c r="H1221" s="72"/>
      <c r="I1221" s="71"/>
      <c r="L1221" s="55" t="str">
        <f t="shared" ca="1" si="39"/>
        <v>NE</v>
      </c>
    </row>
    <row r="1222" spans="1:12" ht="27" thickBot="1">
      <c r="A1222" s="72"/>
      <c r="B1222" s="74"/>
      <c r="C1222" s="71"/>
      <c r="D1222" s="71"/>
      <c r="E1222" s="72"/>
      <c r="F1222" s="70"/>
      <c r="G1222" s="72" t="str">
        <f t="shared" ca="1" si="38"/>
        <v/>
      </c>
      <c r="H1222" s="72"/>
      <c r="I1222" s="71"/>
      <c r="L1222" s="55" t="str">
        <f t="shared" ca="1" si="39"/>
        <v>NE</v>
      </c>
    </row>
    <row r="1223" spans="1:12" ht="27" thickBot="1">
      <c r="A1223" s="72"/>
      <c r="B1223" s="74"/>
      <c r="C1223" s="71"/>
      <c r="D1223" s="71"/>
      <c r="E1223" s="72"/>
      <c r="F1223" s="70"/>
      <c r="G1223" s="72" t="str">
        <f t="shared" ca="1" si="38"/>
        <v/>
      </c>
      <c r="H1223" s="72"/>
      <c r="I1223" s="71"/>
      <c r="L1223" s="55" t="str">
        <f t="shared" ca="1" si="39"/>
        <v>NE</v>
      </c>
    </row>
    <row r="1224" spans="1:12" ht="27" thickBot="1">
      <c r="A1224" s="72"/>
      <c r="B1224" s="74"/>
      <c r="C1224" s="71"/>
      <c r="D1224" s="71"/>
      <c r="E1224" s="72"/>
      <c r="F1224" s="70"/>
      <c r="G1224" s="72" t="str">
        <f t="shared" ca="1" si="38"/>
        <v/>
      </c>
      <c r="H1224" s="72"/>
      <c r="I1224" s="71"/>
      <c r="L1224" s="55" t="str">
        <f t="shared" ca="1" si="39"/>
        <v>NE</v>
      </c>
    </row>
    <row r="1225" spans="1:12" ht="27" thickBot="1">
      <c r="A1225" s="72"/>
      <c r="B1225" s="74"/>
      <c r="C1225" s="71"/>
      <c r="D1225" s="71"/>
      <c r="E1225" s="72"/>
      <c r="F1225" s="70"/>
      <c r="G1225" s="72" t="str">
        <f t="shared" ca="1" si="38"/>
        <v/>
      </c>
      <c r="H1225" s="72"/>
      <c r="I1225" s="71"/>
      <c r="L1225" s="55" t="str">
        <f t="shared" ca="1" si="39"/>
        <v>NE</v>
      </c>
    </row>
    <row r="1226" spans="1:12" ht="27" thickBot="1">
      <c r="A1226" s="72"/>
      <c r="B1226" s="74"/>
      <c r="C1226" s="71"/>
      <c r="D1226" s="71"/>
      <c r="E1226" s="72"/>
      <c r="F1226" s="70"/>
      <c r="G1226" s="72" t="str">
        <f t="shared" ca="1" si="38"/>
        <v/>
      </c>
      <c r="H1226" s="72"/>
      <c r="I1226" s="71"/>
      <c r="L1226" s="55" t="str">
        <f t="shared" ca="1" si="39"/>
        <v>NE</v>
      </c>
    </row>
    <row r="1227" spans="1:12" ht="27" thickBot="1">
      <c r="A1227" s="72"/>
      <c r="B1227" s="74"/>
      <c r="C1227" s="71"/>
      <c r="D1227" s="71"/>
      <c r="E1227" s="72"/>
      <c r="F1227" s="70"/>
      <c r="G1227" s="72" t="str">
        <f t="shared" ca="1" si="38"/>
        <v/>
      </c>
      <c r="H1227" s="72"/>
      <c r="I1227" s="71"/>
      <c r="L1227" s="55" t="str">
        <f t="shared" ca="1" si="39"/>
        <v>NE</v>
      </c>
    </row>
    <row r="1228" spans="1:12" ht="27" thickBot="1">
      <c r="A1228" s="72"/>
      <c r="B1228" s="74"/>
      <c r="C1228" s="71"/>
      <c r="D1228" s="71"/>
      <c r="E1228" s="72"/>
      <c r="F1228" s="70"/>
      <c r="G1228" s="72" t="str">
        <f t="shared" ca="1" si="38"/>
        <v/>
      </c>
      <c r="H1228" s="72"/>
      <c r="I1228" s="71"/>
      <c r="L1228" s="55" t="str">
        <f t="shared" ca="1" si="39"/>
        <v>NE</v>
      </c>
    </row>
    <row r="1229" spans="1:12" ht="27" thickBot="1">
      <c r="A1229" s="72"/>
      <c r="B1229" s="74"/>
      <c r="C1229" s="71"/>
      <c r="D1229" s="71"/>
      <c r="E1229" s="72"/>
      <c r="F1229" s="70"/>
      <c r="G1229" s="72" t="str">
        <f t="shared" ca="1" si="38"/>
        <v/>
      </c>
      <c r="H1229" s="72"/>
      <c r="I1229" s="71"/>
      <c r="L1229" s="55" t="str">
        <f t="shared" ca="1" si="39"/>
        <v>NE</v>
      </c>
    </row>
    <row r="1230" spans="1:12" ht="27" thickBot="1">
      <c r="A1230" s="72"/>
      <c r="B1230" s="74"/>
      <c r="C1230" s="71"/>
      <c r="D1230" s="71"/>
      <c r="E1230" s="72"/>
      <c r="F1230" s="70"/>
      <c r="G1230" s="72" t="str">
        <f t="shared" ca="1" si="38"/>
        <v/>
      </c>
      <c r="H1230" s="72"/>
      <c r="I1230" s="71"/>
      <c r="L1230" s="55" t="str">
        <f t="shared" ca="1" si="39"/>
        <v>NE</v>
      </c>
    </row>
    <row r="1231" spans="1:12" ht="27" thickBot="1">
      <c r="A1231" s="72"/>
      <c r="B1231" s="74"/>
      <c r="C1231" s="71"/>
      <c r="D1231" s="71"/>
      <c r="E1231" s="72"/>
      <c r="F1231" s="70"/>
      <c r="G1231" s="72" t="str">
        <f t="shared" ca="1" si="38"/>
        <v/>
      </c>
      <c r="H1231" s="72"/>
      <c r="I1231" s="71"/>
      <c r="L1231" s="55" t="str">
        <f t="shared" ca="1" si="39"/>
        <v>NE</v>
      </c>
    </row>
    <row r="1232" spans="1:12" ht="27" thickBot="1">
      <c r="A1232" s="72"/>
      <c r="B1232" s="74"/>
      <c r="C1232" s="71"/>
      <c r="D1232" s="71"/>
      <c r="E1232" s="72"/>
      <c r="F1232" s="70"/>
      <c r="G1232" s="72" t="str">
        <f t="shared" ca="1" si="38"/>
        <v/>
      </c>
      <c r="H1232" s="72"/>
      <c r="I1232" s="71"/>
      <c r="L1232" s="55" t="str">
        <f t="shared" ca="1" si="39"/>
        <v>NE</v>
      </c>
    </row>
    <row r="1233" spans="1:12" ht="27" thickBot="1">
      <c r="A1233" s="72"/>
      <c r="B1233" s="74"/>
      <c r="C1233" s="71"/>
      <c r="D1233" s="71"/>
      <c r="E1233" s="72"/>
      <c r="F1233" s="70"/>
      <c r="G1233" s="72" t="str">
        <f t="shared" ca="1" si="38"/>
        <v/>
      </c>
      <c r="H1233" s="72"/>
      <c r="I1233" s="71"/>
      <c r="L1233" s="55" t="str">
        <f t="shared" ca="1" si="39"/>
        <v>NE</v>
      </c>
    </row>
    <row r="1234" spans="1:12" ht="27" thickBot="1">
      <c r="A1234" s="72"/>
      <c r="B1234" s="74"/>
      <c r="C1234" s="71"/>
      <c r="D1234" s="71"/>
      <c r="E1234" s="72"/>
      <c r="F1234" s="70"/>
      <c r="G1234" s="72" t="str">
        <f t="shared" ca="1" si="38"/>
        <v/>
      </c>
      <c r="H1234" s="72"/>
      <c r="I1234" s="71"/>
      <c r="L1234" s="55" t="str">
        <f t="shared" ca="1" si="39"/>
        <v>NE</v>
      </c>
    </row>
    <row r="1235" spans="1:12" ht="27" thickBot="1">
      <c r="A1235" s="72"/>
      <c r="B1235" s="74"/>
      <c r="C1235" s="71"/>
      <c r="D1235" s="71"/>
      <c r="E1235" s="72"/>
      <c r="F1235" s="70"/>
      <c r="G1235" s="72" t="str">
        <f t="shared" ca="1" si="38"/>
        <v/>
      </c>
      <c r="H1235" s="72"/>
      <c r="I1235" s="71"/>
      <c r="L1235" s="55" t="str">
        <f t="shared" ca="1" si="39"/>
        <v>NE</v>
      </c>
    </row>
    <row r="1236" spans="1:12" ht="27" thickBot="1">
      <c r="A1236" s="72"/>
      <c r="B1236" s="74"/>
      <c r="C1236" s="71"/>
      <c r="D1236" s="71"/>
      <c r="E1236" s="72"/>
      <c r="F1236" s="70"/>
      <c r="G1236" s="72" t="str">
        <f t="shared" ca="1" si="38"/>
        <v/>
      </c>
      <c r="H1236" s="72"/>
      <c r="I1236" s="71"/>
      <c r="L1236" s="55" t="str">
        <f t="shared" ca="1" si="39"/>
        <v>NE</v>
      </c>
    </row>
    <row r="1237" spans="1:12" ht="27" thickBot="1">
      <c r="A1237" s="72"/>
      <c r="B1237" s="74"/>
      <c r="C1237" s="71"/>
      <c r="D1237" s="71"/>
      <c r="E1237" s="72"/>
      <c r="F1237" s="70"/>
      <c r="G1237" s="72" t="str">
        <f t="shared" ca="1" si="38"/>
        <v/>
      </c>
      <c r="H1237" s="72"/>
      <c r="I1237" s="71"/>
      <c r="L1237" s="55" t="str">
        <f t="shared" ca="1" si="39"/>
        <v>NE</v>
      </c>
    </row>
    <row r="1238" spans="1:12" ht="27" thickBot="1">
      <c r="A1238" s="72"/>
      <c r="B1238" s="74"/>
      <c r="C1238" s="71"/>
      <c r="D1238" s="71"/>
      <c r="E1238" s="72"/>
      <c r="F1238" s="70"/>
      <c r="G1238" s="72" t="str">
        <f t="shared" ca="1" si="38"/>
        <v/>
      </c>
      <c r="H1238" s="72"/>
      <c r="I1238" s="71"/>
      <c r="L1238" s="55" t="str">
        <f t="shared" ca="1" si="39"/>
        <v>NE</v>
      </c>
    </row>
    <row r="1239" spans="1:12" ht="27" thickBot="1">
      <c r="A1239" s="72"/>
      <c r="B1239" s="74"/>
      <c r="C1239" s="71"/>
      <c r="D1239" s="71"/>
      <c r="E1239" s="72"/>
      <c r="F1239" s="70"/>
      <c r="G1239" s="72" t="str">
        <f t="shared" ca="1" si="38"/>
        <v/>
      </c>
      <c r="H1239" s="72"/>
      <c r="I1239" s="71"/>
      <c r="L1239" s="55" t="str">
        <f t="shared" ca="1" si="39"/>
        <v>NE</v>
      </c>
    </row>
    <row r="1240" spans="1:12" ht="27" thickBot="1">
      <c r="A1240" s="72"/>
      <c r="B1240" s="74"/>
      <c r="C1240" s="71"/>
      <c r="D1240" s="71"/>
      <c r="E1240" s="72"/>
      <c r="F1240" s="70"/>
      <c r="G1240" s="72" t="str">
        <f t="shared" ca="1" si="38"/>
        <v/>
      </c>
      <c r="H1240" s="72"/>
      <c r="I1240" s="71"/>
      <c r="L1240" s="55" t="str">
        <f t="shared" ca="1" si="39"/>
        <v>NE</v>
      </c>
    </row>
    <row r="1241" spans="1:12" ht="27" thickBot="1">
      <c r="A1241" s="72"/>
      <c r="B1241" s="74"/>
      <c r="C1241" s="71"/>
      <c r="D1241" s="71"/>
      <c r="E1241" s="72"/>
      <c r="F1241" s="70"/>
      <c r="G1241" s="72" t="str">
        <f t="shared" ca="1" si="38"/>
        <v/>
      </c>
      <c r="H1241" s="72"/>
      <c r="I1241" s="71"/>
      <c r="L1241" s="55" t="str">
        <f t="shared" ca="1" si="39"/>
        <v>NE</v>
      </c>
    </row>
    <row r="1242" spans="1:12" ht="27" thickBot="1">
      <c r="A1242" s="72"/>
      <c r="B1242" s="74"/>
      <c r="C1242" s="71"/>
      <c r="D1242" s="71"/>
      <c r="E1242" s="72"/>
      <c r="F1242" s="70"/>
      <c r="G1242" s="72" t="str">
        <f t="shared" ca="1" si="38"/>
        <v/>
      </c>
      <c r="H1242" s="72"/>
      <c r="I1242" s="71"/>
      <c r="L1242" s="55" t="str">
        <f t="shared" ca="1" si="39"/>
        <v>NE</v>
      </c>
    </row>
    <row r="1243" spans="1:12" ht="27" thickBot="1">
      <c r="A1243" s="72"/>
      <c r="B1243" s="74"/>
      <c r="C1243" s="71"/>
      <c r="D1243" s="71"/>
      <c r="E1243" s="72"/>
      <c r="F1243" s="70"/>
      <c r="G1243" s="72" t="str">
        <f t="shared" ca="1" si="38"/>
        <v/>
      </c>
      <c r="H1243" s="72"/>
      <c r="I1243" s="71"/>
      <c r="L1243" s="55" t="str">
        <f t="shared" ca="1" si="39"/>
        <v>NE</v>
      </c>
    </row>
    <row r="1244" spans="1:12" ht="27" thickBot="1">
      <c r="A1244" s="72"/>
      <c r="B1244" s="74"/>
      <c r="C1244" s="71"/>
      <c r="D1244" s="71"/>
      <c r="E1244" s="72"/>
      <c r="F1244" s="70"/>
      <c r="G1244" s="72" t="str">
        <f t="shared" ca="1" si="38"/>
        <v/>
      </c>
      <c r="H1244" s="72"/>
      <c r="I1244" s="71"/>
      <c r="L1244" s="55" t="str">
        <f t="shared" ca="1" si="39"/>
        <v>NE</v>
      </c>
    </row>
    <row r="1245" spans="1:12" ht="27" thickBot="1">
      <c r="A1245" s="72"/>
      <c r="B1245" s="74"/>
      <c r="C1245" s="71"/>
      <c r="D1245" s="71"/>
      <c r="E1245" s="72"/>
      <c r="F1245" s="70"/>
      <c r="G1245" s="72" t="str">
        <f t="shared" ca="1" si="38"/>
        <v/>
      </c>
      <c r="H1245" s="72"/>
      <c r="I1245" s="71"/>
      <c r="L1245" s="55" t="str">
        <f t="shared" ca="1" si="39"/>
        <v>NE</v>
      </c>
    </row>
    <row r="1246" spans="1:12" ht="27" thickBot="1">
      <c r="A1246" s="72"/>
      <c r="B1246" s="74"/>
      <c r="C1246" s="71"/>
      <c r="D1246" s="71"/>
      <c r="E1246" s="72"/>
      <c r="F1246" s="70"/>
      <c r="G1246" s="72" t="str">
        <f t="shared" ca="1" si="38"/>
        <v/>
      </c>
      <c r="H1246" s="72"/>
      <c r="I1246" s="71"/>
      <c r="L1246" s="55" t="str">
        <f t="shared" ca="1" si="39"/>
        <v>NE</v>
      </c>
    </row>
    <row r="1247" spans="1:12" ht="27" thickBot="1">
      <c r="A1247" s="72"/>
      <c r="B1247" s="74"/>
      <c r="C1247" s="71"/>
      <c r="D1247" s="71"/>
      <c r="E1247" s="72"/>
      <c r="F1247" s="70"/>
      <c r="G1247" s="72" t="str">
        <f t="shared" ca="1" si="38"/>
        <v/>
      </c>
      <c r="H1247" s="72"/>
      <c r="I1247" s="71"/>
      <c r="L1247" s="55" t="str">
        <f t="shared" ca="1" si="39"/>
        <v>NE</v>
      </c>
    </row>
    <row r="1248" spans="1:12" ht="27" thickBot="1">
      <c r="A1248" s="72"/>
      <c r="B1248" s="74"/>
      <c r="C1248" s="71"/>
      <c r="D1248" s="71"/>
      <c r="E1248" s="72"/>
      <c r="F1248" s="70"/>
      <c r="G1248" s="72" t="str">
        <f t="shared" ca="1" si="38"/>
        <v/>
      </c>
      <c r="H1248" s="72"/>
      <c r="I1248" s="71"/>
      <c r="L1248" s="55" t="str">
        <f t="shared" ca="1" si="39"/>
        <v>NE</v>
      </c>
    </row>
    <row r="1249" spans="1:12" ht="27" thickBot="1">
      <c r="A1249" s="72"/>
      <c r="B1249" s="74"/>
      <c r="C1249" s="71"/>
      <c r="D1249" s="71"/>
      <c r="E1249" s="72"/>
      <c r="F1249" s="70"/>
      <c r="G1249" s="72" t="str">
        <f t="shared" ca="1" si="38"/>
        <v/>
      </c>
      <c r="H1249" s="72"/>
      <c r="I1249" s="71"/>
      <c r="L1249" s="55" t="str">
        <f t="shared" ca="1" si="39"/>
        <v>NE</v>
      </c>
    </row>
    <row r="1250" spans="1:12" ht="27" thickBot="1">
      <c r="A1250" s="72"/>
      <c r="B1250" s="74"/>
      <c r="C1250" s="71"/>
      <c r="D1250" s="71"/>
      <c r="E1250" s="72"/>
      <c r="F1250" s="70"/>
      <c r="G1250" s="72" t="str">
        <f t="shared" ca="1" si="38"/>
        <v/>
      </c>
      <c r="H1250" s="72"/>
      <c r="I1250" s="71"/>
      <c r="L1250" s="55" t="str">
        <f t="shared" ca="1" si="39"/>
        <v>NE</v>
      </c>
    </row>
    <row r="1251" spans="1:12" ht="27" thickBot="1">
      <c r="A1251" s="72"/>
      <c r="B1251" s="74"/>
      <c r="C1251" s="71"/>
      <c r="D1251" s="71"/>
      <c r="E1251" s="72"/>
      <c r="F1251" s="70"/>
      <c r="G1251" s="72" t="str">
        <f t="shared" ca="1" si="38"/>
        <v/>
      </c>
      <c r="H1251" s="72"/>
      <c r="I1251" s="71"/>
      <c r="L1251" s="55" t="str">
        <f t="shared" ca="1" si="39"/>
        <v>NE</v>
      </c>
    </row>
    <row r="1252" spans="1:12" ht="27" thickBot="1">
      <c r="A1252" s="72"/>
      <c r="B1252" s="74"/>
      <c r="C1252" s="71"/>
      <c r="D1252" s="71"/>
      <c r="E1252" s="72"/>
      <c r="F1252" s="70"/>
      <c r="G1252" s="72" t="str">
        <f t="shared" ca="1" si="38"/>
        <v/>
      </c>
      <c r="H1252" s="72"/>
      <c r="I1252" s="71"/>
      <c r="L1252" s="55" t="str">
        <f t="shared" ca="1" si="39"/>
        <v>NE</v>
      </c>
    </row>
    <row r="1253" spans="1:12" ht="27" thickBot="1">
      <c r="A1253" s="72"/>
      <c r="B1253" s="74"/>
      <c r="C1253" s="71"/>
      <c r="D1253" s="71"/>
      <c r="E1253" s="72"/>
      <c r="F1253" s="70"/>
      <c r="G1253" s="72" t="str">
        <f t="shared" ca="1" si="38"/>
        <v/>
      </c>
      <c r="H1253" s="72"/>
      <c r="I1253" s="71"/>
      <c r="L1253" s="55" t="str">
        <f t="shared" ca="1" si="39"/>
        <v>NE</v>
      </c>
    </row>
    <row r="1254" spans="1:12" ht="27" thickBot="1">
      <c r="A1254" s="72"/>
      <c r="B1254" s="74"/>
      <c r="C1254" s="71"/>
      <c r="D1254" s="71"/>
      <c r="E1254" s="72"/>
      <c r="F1254" s="70"/>
      <c r="G1254" s="72" t="str">
        <f t="shared" ca="1" si="38"/>
        <v/>
      </c>
      <c r="H1254" s="72"/>
      <c r="I1254" s="71"/>
      <c r="L1254" s="55" t="str">
        <f t="shared" ca="1" si="39"/>
        <v>NE</v>
      </c>
    </row>
    <row r="1255" spans="1:12" ht="27" thickBot="1">
      <c r="A1255" s="72"/>
      <c r="B1255" s="74"/>
      <c r="C1255" s="71"/>
      <c r="D1255" s="71"/>
      <c r="E1255" s="72"/>
      <c r="F1255" s="70"/>
      <c r="G1255" s="72" t="str">
        <f t="shared" ca="1" si="38"/>
        <v/>
      </c>
      <c r="H1255" s="72"/>
      <c r="I1255" s="71"/>
      <c r="L1255" s="55" t="str">
        <f t="shared" ca="1" si="39"/>
        <v>NE</v>
      </c>
    </row>
    <row r="1256" spans="1:12" ht="27" thickBot="1">
      <c r="A1256" s="72"/>
      <c r="B1256" s="74"/>
      <c r="C1256" s="71"/>
      <c r="D1256" s="71"/>
      <c r="E1256" s="72"/>
      <c r="F1256" s="70"/>
      <c r="G1256" s="72" t="str">
        <f t="shared" ca="1" si="38"/>
        <v/>
      </c>
      <c r="H1256" s="72"/>
      <c r="I1256" s="71"/>
      <c r="L1256" s="55" t="str">
        <f t="shared" ca="1" si="39"/>
        <v>NE</v>
      </c>
    </row>
    <row r="1257" spans="1:12" ht="27" thickBot="1">
      <c r="A1257" s="72"/>
      <c r="B1257" s="74"/>
      <c r="C1257" s="71"/>
      <c r="D1257" s="71"/>
      <c r="E1257" s="72"/>
      <c r="F1257" s="70"/>
      <c r="G1257" s="72" t="str">
        <f t="shared" ca="1" si="38"/>
        <v/>
      </c>
      <c r="H1257" s="72"/>
      <c r="I1257" s="71"/>
      <c r="L1257" s="55" t="str">
        <f t="shared" ca="1" si="39"/>
        <v>NE</v>
      </c>
    </row>
    <row r="1258" spans="1:12" ht="27" thickBot="1">
      <c r="A1258" s="72"/>
      <c r="B1258" s="74"/>
      <c r="C1258" s="71"/>
      <c r="D1258" s="71"/>
      <c r="E1258" s="72"/>
      <c r="F1258" s="70"/>
      <c r="G1258" s="72" t="str">
        <f t="shared" ca="1" si="38"/>
        <v/>
      </c>
      <c r="H1258" s="72"/>
      <c r="I1258" s="71"/>
      <c r="L1258" s="55" t="str">
        <f t="shared" ca="1" si="39"/>
        <v>NE</v>
      </c>
    </row>
    <row r="1259" spans="1:12" ht="27" thickBot="1">
      <c r="A1259" s="72"/>
      <c r="B1259" s="74"/>
      <c r="C1259" s="71"/>
      <c r="D1259" s="71"/>
      <c r="E1259" s="72"/>
      <c r="F1259" s="70"/>
      <c r="G1259" s="72" t="str">
        <f t="shared" ca="1" si="38"/>
        <v/>
      </c>
      <c r="H1259" s="72"/>
      <c r="I1259" s="71"/>
      <c r="L1259" s="55" t="str">
        <f t="shared" ca="1" si="39"/>
        <v>NE</v>
      </c>
    </row>
    <row r="1260" spans="1:12" ht="27" thickBot="1">
      <c r="A1260" s="72"/>
      <c r="B1260" s="74"/>
      <c r="C1260" s="71"/>
      <c r="D1260" s="71"/>
      <c r="E1260" s="72"/>
      <c r="F1260" s="70"/>
      <c r="G1260" s="72" t="str">
        <f t="shared" ca="1" si="38"/>
        <v/>
      </c>
      <c r="H1260" s="72"/>
      <c r="I1260" s="71"/>
      <c r="L1260" s="55" t="str">
        <f t="shared" ca="1" si="39"/>
        <v>NE</v>
      </c>
    </row>
    <row r="1261" spans="1:12" ht="27" thickBot="1">
      <c r="A1261" s="72"/>
      <c r="B1261" s="74"/>
      <c r="C1261" s="71"/>
      <c r="D1261" s="71"/>
      <c r="E1261" s="72"/>
      <c r="F1261" s="70"/>
      <c r="G1261" s="72" t="str">
        <f t="shared" ca="1" si="38"/>
        <v/>
      </c>
      <c r="H1261" s="72"/>
      <c r="I1261" s="71"/>
      <c r="L1261" s="55" t="str">
        <f t="shared" ca="1" si="39"/>
        <v>NE</v>
      </c>
    </row>
    <row r="1262" spans="1:12" ht="27" thickBot="1">
      <c r="A1262" s="72"/>
      <c r="B1262" s="74"/>
      <c r="C1262" s="71"/>
      <c r="D1262" s="71"/>
      <c r="E1262" s="72"/>
      <c r="F1262" s="70"/>
      <c r="G1262" s="72" t="str">
        <f t="shared" ref="G1262:G1325" ca="1" si="40">IF(ISBLANK(F1262),"",IF(F1262&gt;=TODAY(), "Non Echue", "Echue"))</f>
        <v/>
      </c>
      <c r="H1262" s="72"/>
      <c r="I1262" s="71"/>
      <c r="L1262" s="55" t="str">
        <f t="shared" ref="L1262:L1325" ca="1" si="41" xml:space="preserve"> IF(G1262 = "Echue",IF(H1262 = "Appliqué","EAP","NAP"),"NE")</f>
        <v>NE</v>
      </c>
    </row>
    <row r="1263" spans="1:12" ht="27" thickBot="1">
      <c r="A1263" s="72"/>
      <c r="B1263" s="74"/>
      <c r="C1263" s="71"/>
      <c r="D1263" s="71"/>
      <c r="E1263" s="72"/>
      <c r="F1263" s="70"/>
      <c r="G1263" s="72" t="str">
        <f t="shared" ca="1" si="40"/>
        <v/>
      </c>
      <c r="H1263" s="72"/>
      <c r="I1263" s="71"/>
      <c r="L1263" s="55" t="str">
        <f t="shared" ca="1" si="41"/>
        <v>NE</v>
      </c>
    </row>
    <row r="1264" spans="1:12" ht="27" thickBot="1">
      <c r="A1264" s="72"/>
      <c r="B1264" s="74"/>
      <c r="C1264" s="71"/>
      <c r="D1264" s="71"/>
      <c r="E1264" s="72"/>
      <c r="F1264" s="70"/>
      <c r="G1264" s="72" t="str">
        <f t="shared" ca="1" si="40"/>
        <v/>
      </c>
      <c r="H1264" s="72"/>
      <c r="I1264" s="71"/>
      <c r="L1264" s="55" t="str">
        <f t="shared" ca="1" si="41"/>
        <v>NE</v>
      </c>
    </row>
    <row r="1265" spans="1:12" ht="27" thickBot="1">
      <c r="A1265" s="72"/>
      <c r="B1265" s="74"/>
      <c r="C1265" s="71"/>
      <c r="D1265" s="71"/>
      <c r="E1265" s="72"/>
      <c r="F1265" s="70"/>
      <c r="G1265" s="72" t="str">
        <f t="shared" ca="1" si="40"/>
        <v/>
      </c>
      <c r="H1265" s="72"/>
      <c r="I1265" s="71"/>
      <c r="L1265" s="55" t="str">
        <f t="shared" ca="1" si="41"/>
        <v>NE</v>
      </c>
    </row>
    <row r="1266" spans="1:12" ht="27" thickBot="1">
      <c r="A1266" s="72"/>
      <c r="B1266" s="74"/>
      <c r="C1266" s="71"/>
      <c r="D1266" s="71"/>
      <c r="E1266" s="72"/>
      <c r="F1266" s="70"/>
      <c r="G1266" s="72" t="str">
        <f t="shared" ca="1" si="40"/>
        <v/>
      </c>
      <c r="H1266" s="72"/>
      <c r="I1266" s="71"/>
      <c r="L1266" s="55" t="str">
        <f t="shared" ca="1" si="41"/>
        <v>NE</v>
      </c>
    </row>
    <row r="1267" spans="1:12" ht="27" thickBot="1">
      <c r="A1267" s="72"/>
      <c r="B1267" s="74"/>
      <c r="C1267" s="71"/>
      <c r="D1267" s="71"/>
      <c r="E1267" s="72"/>
      <c r="F1267" s="70"/>
      <c r="G1267" s="72" t="str">
        <f t="shared" ca="1" si="40"/>
        <v/>
      </c>
      <c r="H1267" s="72"/>
      <c r="I1267" s="71"/>
      <c r="L1267" s="55" t="str">
        <f t="shared" ca="1" si="41"/>
        <v>NE</v>
      </c>
    </row>
    <row r="1268" spans="1:12" ht="27" thickBot="1">
      <c r="A1268" s="72"/>
      <c r="B1268" s="74"/>
      <c r="C1268" s="71"/>
      <c r="D1268" s="71"/>
      <c r="E1268" s="72"/>
      <c r="F1268" s="70"/>
      <c r="G1268" s="72" t="str">
        <f t="shared" ca="1" si="40"/>
        <v/>
      </c>
      <c r="H1268" s="72"/>
      <c r="I1268" s="71"/>
      <c r="L1268" s="55" t="str">
        <f t="shared" ca="1" si="41"/>
        <v>NE</v>
      </c>
    </row>
    <row r="1269" spans="1:12" ht="27" thickBot="1">
      <c r="A1269" s="72"/>
      <c r="B1269" s="74"/>
      <c r="C1269" s="71"/>
      <c r="D1269" s="71"/>
      <c r="E1269" s="72"/>
      <c r="F1269" s="70"/>
      <c r="G1269" s="72" t="str">
        <f t="shared" ca="1" si="40"/>
        <v/>
      </c>
      <c r="H1269" s="72"/>
      <c r="I1269" s="71"/>
      <c r="L1269" s="55" t="str">
        <f t="shared" ca="1" si="41"/>
        <v>NE</v>
      </c>
    </row>
    <row r="1270" spans="1:12" ht="27" thickBot="1">
      <c r="A1270" s="72"/>
      <c r="B1270" s="74"/>
      <c r="C1270" s="71"/>
      <c r="D1270" s="71"/>
      <c r="E1270" s="72"/>
      <c r="F1270" s="70"/>
      <c r="G1270" s="72" t="str">
        <f t="shared" ca="1" si="40"/>
        <v/>
      </c>
      <c r="H1270" s="72"/>
      <c r="I1270" s="71"/>
      <c r="L1270" s="55" t="str">
        <f t="shared" ca="1" si="41"/>
        <v>NE</v>
      </c>
    </row>
    <row r="1271" spans="1:12" ht="27" thickBot="1">
      <c r="A1271" s="72"/>
      <c r="B1271" s="74"/>
      <c r="C1271" s="71"/>
      <c r="D1271" s="71"/>
      <c r="E1271" s="72"/>
      <c r="F1271" s="70"/>
      <c r="G1271" s="72" t="str">
        <f t="shared" ca="1" si="40"/>
        <v/>
      </c>
      <c r="H1271" s="72"/>
      <c r="I1271" s="71"/>
      <c r="L1271" s="55" t="str">
        <f t="shared" ca="1" si="41"/>
        <v>NE</v>
      </c>
    </row>
    <row r="1272" spans="1:12" ht="27" thickBot="1">
      <c r="A1272" s="72"/>
      <c r="B1272" s="74"/>
      <c r="C1272" s="71"/>
      <c r="D1272" s="71"/>
      <c r="E1272" s="72"/>
      <c r="F1272" s="70"/>
      <c r="G1272" s="72" t="str">
        <f t="shared" ca="1" si="40"/>
        <v/>
      </c>
      <c r="H1272" s="72"/>
      <c r="I1272" s="71"/>
      <c r="L1272" s="55" t="str">
        <f t="shared" ca="1" si="41"/>
        <v>NE</v>
      </c>
    </row>
    <row r="1273" spans="1:12" ht="27" thickBot="1">
      <c r="A1273" s="72"/>
      <c r="B1273" s="74"/>
      <c r="C1273" s="71"/>
      <c r="D1273" s="71"/>
      <c r="E1273" s="72"/>
      <c r="F1273" s="70"/>
      <c r="G1273" s="72" t="str">
        <f t="shared" ca="1" si="40"/>
        <v/>
      </c>
      <c r="H1273" s="72"/>
      <c r="I1273" s="71"/>
      <c r="L1273" s="55" t="str">
        <f t="shared" ca="1" si="41"/>
        <v>NE</v>
      </c>
    </row>
    <row r="1274" spans="1:12" ht="27" thickBot="1">
      <c r="A1274" s="72"/>
      <c r="B1274" s="74"/>
      <c r="C1274" s="71"/>
      <c r="D1274" s="71"/>
      <c r="E1274" s="72"/>
      <c r="F1274" s="70"/>
      <c r="G1274" s="72" t="str">
        <f t="shared" ca="1" si="40"/>
        <v/>
      </c>
      <c r="H1274" s="72"/>
      <c r="I1274" s="71"/>
      <c r="L1274" s="55" t="str">
        <f t="shared" ca="1" si="41"/>
        <v>NE</v>
      </c>
    </row>
    <row r="1275" spans="1:12" ht="27" thickBot="1">
      <c r="A1275" s="72"/>
      <c r="B1275" s="74"/>
      <c r="C1275" s="71"/>
      <c r="D1275" s="71"/>
      <c r="E1275" s="72"/>
      <c r="F1275" s="70"/>
      <c r="G1275" s="72" t="str">
        <f t="shared" ca="1" si="40"/>
        <v/>
      </c>
      <c r="H1275" s="72"/>
      <c r="I1275" s="71"/>
      <c r="L1275" s="55" t="str">
        <f t="shared" ca="1" si="41"/>
        <v>NE</v>
      </c>
    </row>
    <row r="1276" spans="1:12" ht="27" thickBot="1">
      <c r="A1276" s="72"/>
      <c r="B1276" s="74"/>
      <c r="C1276" s="71"/>
      <c r="D1276" s="71"/>
      <c r="E1276" s="72"/>
      <c r="F1276" s="70"/>
      <c r="G1276" s="72" t="str">
        <f t="shared" ca="1" si="40"/>
        <v/>
      </c>
      <c r="H1276" s="72"/>
      <c r="I1276" s="71"/>
      <c r="L1276" s="55" t="str">
        <f t="shared" ca="1" si="41"/>
        <v>NE</v>
      </c>
    </row>
    <row r="1277" spans="1:12" ht="27" thickBot="1">
      <c r="A1277" s="72"/>
      <c r="B1277" s="74"/>
      <c r="C1277" s="71"/>
      <c r="D1277" s="71"/>
      <c r="E1277" s="72"/>
      <c r="F1277" s="70"/>
      <c r="G1277" s="72" t="str">
        <f t="shared" ca="1" si="40"/>
        <v/>
      </c>
      <c r="H1277" s="72"/>
      <c r="I1277" s="71"/>
      <c r="L1277" s="55" t="str">
        <f t="shared" ca="1" si="41"/>
        <v>NE</v>
      </c>
    </row>
    <row r="1278" spans="1:12" ht="27" thickBot="1">
      <c r="A1278" s="72"/>
      <c r="B1278" s="74"/>
      <c r="C1278" s="71"/>
      <c r="D1278" s="71"/>
      <c r="E1278" s="72"/>
      <c r="F1278" s="70"/>
      <c r="G1278" s="72" t="str">
        <f t="shared" ca="1" si="40"/>
        <v/>
      </c>
      <c r="H1278" s="72"/>
      <c r="I1278" s="71"/>
      <c r="L1278" s="55" t="str">
        <f t="shared" ca="1" si="41"/>
        <v>NE</v>
      </c>
    </row>
    <row r="1279" spans="1:12" ht="27" thickBot="1">
      <c r="A1279" s="72"/>
      <c r="B1279" s="74"/>
      <c r="C1279" s="71"/>
      <c r="D1279" s="71"/>
      <c r="E1279" s="72"/>
      <c r="F1279" s="70"/>
      <c r="G1279" s="72" t="str">
        <f t="shared" ca="1" si="40"/>
        <v/>
      </c>
      <c r="H1279" s="72"/>
      <c r="I1279" s="71"/>
      <c r="L1279" s="55" t="str">
        <f t="shared" ca="1" si="41"/>
        <v>NE</v>
      </c>
    </row>
    <row r="1280" spans="1:12" ht="27" thickBot="1">
      <c r="A1280" s="72"/>
      <c r="B1280" s="74"/>
      <c r="C1280" s="71"/>
      <c r="D1280" s="71"/>
      <c r="E1280" s="72"/>
      <c r="F1280" s="70"/>
      <c r="G1280" s="72" t="str">
        <f t="shared" ca="1" si="40"/>
        <v/>
      </c>
      <c r="H1280" s="72"/>
      <c r="I1280" s="71"/>
      <c r="L1280" s="55" t="str">
        <f t="shared" ca="1" si="41"/>
        <v>NE</v>
      </c>
    </row>
    <row r="1281" spans="1:12" ht="27" thickBot="1">
      <c r="A1281" s="72"/>
      <c r="B1281" s="74"/>
      <c r="C1281" s="71"/>
      <c r="D1281" s="71"/>
      <c r="E1281" s="72"/>
      <c r="F1281" s="70"/>
      <c r="G1281" s="72" t="str">
        <f t="shared" ca="1" si="40"/>
        <v/>
      </c>
      <c r="H1281" s="72"/>
      <c r="I1281" s="71"/>
      <c r="L1281" s="55" t="str">
        <f t="shared" ca="1" si="41"/>
        <v>NE</v>
      </c>
    </row>
    <row r="1282" spans="1:12" ht="27" thickBot="1">
      <c r="A1282" s="72"/>
      <c r="B1282" s="74"/>
      <c r="C1282" s="71"/>
      <c r="D1282" s="71"/>
      <c r="E1282" s="72"/>
      <c r="F1282" s="70"/>
      <c r="G1282" s="72" t="str">
        <f t="shared" ca="1" si="40"/>
        <v/>
      </c>
      <c r="H1282" s="72"/>
      <c r="I1282" s="71"/>
      <c r="L1282" s="55" t="str">
        <f t="shared" ca="1" si="41"/>
        <v>NE</v>
      </c>
    </row>
    <row r="1283" spans="1:12" ht="27" thickBot="1">
      <c r="A1283" s="72"/>
      <c r="B1283" s="74"/>
      <c r="C1283" s="71"/>
      <c r="D1283" s="71"/>
      <c r="E1283" s="72"/>
      <c r="F1283" s="70"/>
      <c r="G1283" s="72" t="str">
        <f t="shared" ca="1" si="40"/>
        <v/>
      </c>
      <c r="H1283" s="72"/>
      <c r="I1283" s="71"/>
      <c r="L1283" s="55" t="str">
        <f t="shared" ca="1" si="41"/>
        <v>NE</v>
      </c>
    </row>
    <row r="1284" spans="1:12" ht="27" thickBot="1">
      <c r="A1284" s="72"/>
      <c r="B1284" s="74"/>
      <c r="C1284" s="71"/>
      <c r="D1284" s="71"/>
      <c r="E1284" s="72"/>
      <c r="F1284" s="70"/>
      <c r="G1284" s="72" t="str">
        <f t="shared" ca="1" si="40"/>
        <v/>
      </c>
      <c r="H1284" s="72"/>
      <c r="I1284" s="71"/>
      <c r="L1284" s="55" t="str">
        <f t="shared" ca="1" si="41"/>
        <v>NE</v>
      </c>
    </row>
    <row r="1285" spans="1:12" ht="27" thickBot="1">
      <c r="A1285" s="72"/>
      <c r="B1285" s="74"/>
      <c r="C1285" s="71"/>
      <c r="D1285" s="71"/>
      <c r="E1285" s="72"/>
      <c r="F1285" s="70"/>
      <c r="G1285" s="72" t="str">
        <f t="shared" ca="1" si="40"/>
        <v/>
      </c>
      <c r="H1285" s="72"/>
      <c r="I1285" s="71"/>
      <c r="L1285" s="55" t="str">
        <f t="shared" ca="1" si="41"/>
        <v>NE</v>
      </c>
    </row>
    <row r="1286" spans="1:12" ht="27" thickBot="1">
      <c r="A1286" s="72"/>
      <c r="B1286" s="74"/>
      <c r="C1286" s="71"/>
      <c r="D1286" s="71"/>
      <c r="E1286" s="72"/>
      <c r="F1286" s="70"/>
      <c r="G1286" s="72" t="str">
        <f t="shared" ca="1" si="40"/>
        <v/>
      </c>
      <c r="H1286" s="72"/>
      <c r="I1286" s="71"/>
      <c r="L1286" s="55" t="str">
        <f t="shared" ca="1" si="41"/>
        <v>NE</v>
      </c>
    </row>
    <row r="1287" spans="1:12" ht="27" thickBot="1">
      <c r="A1287" s="72"/>
      <c r="B1287" s="74"/>
      <c r="C1287" s="71"/>
      <c r="D1287" s="71"/>
      <c r="E1287" s="72"/>
      <c r="F1287" s="70"/>
      <c r="G1287" s="72" t="str">
        <f t="shared" ca="1" si="40"/>
        <v/>
      </c>
      <c r="H1287" s="72"/>
      <c r="I1287" s="71"/>
      <c r="L1287" s="55" t="str">
        <f t="shared" ca="1" si="41"/>
        <v>NE</v>
      </c>
    </row>
    <row r="1288" spans="1:12" ht="27" thickBot="1">
      <c r="A1288" s="72"/>
      <c r="B1288" s="74"/>
      <c r="C1288" s="71"/>
      <c r="D1288" s="71"/>
      <c r="E1288" s="72"/>
      <c r="F1288" s="70"/>
      <c r="G1288" s="72" t="str">
        <f t="shared" ca="1" si="40"/>
        <v/>
      </c>
      <c r="H1288" s="72"/>
      <c r="I1288" s="71"/>
      <c r="L1288" s="55" t="str">
        <f t="shared" ca="1" si="41"/>
        <v>NE</v>
      </c>
    </row>
    <row r="1289" spans="1:12" ht="27" thickBot="1">
      <c r="A1289" s="72"/>
      <c r="B1289" s="74"/>
      <c r="C1289" s="71"/>
      <c r="D1289" s="71"/>
      <c r="E1289" s="72"/>
      <c r="F1289" s="70"/>
      <c r="G1289" s="72" t="str">
        <f t="shared" ca="1" si="40"/>
        <v/>
      </c>
      <c r="H1289" s="72"/>
      <c r="I1289" s="71"/>
      <c r="L1289" s="55" t="str">
        <f t="shared" ca="1" si="41"/>
        <v>NE</v>
      </c>
    </row>
    <row r="1290" spans="1:12" ht="27" thickBot="1">
      <c r="A1290" s="72"/>
      <c r="B1290" s="74"/>
      <c r="C1290" s="71"/>
      <c r="D1290" s="71"/>
      <c r="E1290" s="72"/>
      <c r="F1290" s="70"/>
      <c r="G1290" s="72" t="str">
        <f t="shared" ca="1" si="40"/>
        <v/>
      </c>
      <c r="H1290" s="72"/>
      <c r="I1290" s="71"/>
      <c r="L1290" s="55" t="str">
        <f t="shared" ca="1" si="41"/>
        <v>NE</v>
      </c>
    </row>
    <row r="1291" spans="1:12" ht="27" thickBot="1">
      <c r="A1291" s="72"/>
      <c r="B1291" s="74"/>
      <c r="C1291" s="71"/>
      <c r="D1291" s="71"/>
      <c r="E1291" s="72"/>
      <c r="F1291" s="70"/>
      <c r="G1291" s="72" t="str">
        <f t="shared" ca="1" si="40"/>
        <v/>
      </c>
      <c r="H1291" s="72"/>
      <c r="I1291" s="71"/>
      <c r="L1291" s="55" t="str">
        <f t="shared" ca="1" si="41"/>
        <v>NE</v>
      </c>
    </row>
    <row r="1292" spans="1:12" ht="27" thickBot="1">
      <c r="A1292" s="72"/>
      <c r="B1292" s="74"/>
      <c r="C1292" s="71"/>
      <c r="D1292" s="71"/>
      <c r="E1292" s="72"/>
      <c r="F1292" s="70"/>
      <c r="G1292" s="72" t="str">
        <f t="shared" ca="1" si="40"/>
        <v/>
      </c>
      <c r="H1292" s="72"/>
      <c r="I1292" s="71"/>
      <c r="L1292" s="55" t="str">
        <f t="shared" ca="1" si="41"/>
        <v>NE</v>
      </c>
    </row>
    <row r="1293" spans="1:12" ht="27" thickBot="1">
      <c r="A1293" s="72"/>
      <c r="B1293" s="74"/>
      <c r="C1293" s="71"/>
      <c r="D1293" s="71"/>
      <c r="E1293" s="72"/>
      <c r="F1293" s="70"/>
      <c r="G1293" s="72" t="str">
        <f t="shared" ca="1" si="40"/>
        <v/>
      </c>
      <c r="H1293" s="72"/>
      <c r="I1293" s="71"/>
      <c r="L1293" s="55" t="str">
        <f t="shared" ca="1" si="41"/>
        <v>NE</v>
      </c>
    </row>
    <row r="1294" spans="1:12" ht="27" thickBot="1">
      <c r="A1294" s="72"/>
      <c r="B1294" s="74"/>
      <c r="C1294" s="71"/>
      <c r="D1294" s="71"/>
      <c r="E1294" s="72"/>
      <c r="F1294" s="70"/>
      <c r="G1294" s="72" t="str">
        <f t="shared" ca="1" si="40"/>
        <v/>
      </c>
      <c r="H1294" s="72"/>
      <c r="I1294" s="71"/>
      <c r="L1294" s="55" t="str">
        <f t="shared" ca="1" si="41"/>
        <v>NE</v>
      </c>
    </row>
    <row r="1295" spans="1:12" ht="27" thickBot="1">
      <c r="A1295" s="72"/>
      <c r="B1295" s="74"/>
      <c r="C1295" s="71"/>
      <c r="D1295" s="71"/>
      <c r="E1295" s="72"/>
      <c r="F1295" s="70"/>
      <c r="G1295" s="72" t="str">
        <f t="shared" ca="1" si="40"/>
        <v/>
      </c>
      <c r="H1295" s="72"/>
      <c r="I1295" s="71"/>
      <c r="L1295" s="55" t="str">
        <f t="shared" ca="1" si="41"/>
        <v>NE</v>
      </c>
    </row>
    <row r="1296" spans="1:12" ht="27" thickBot="1">
      <c r="A1296" s="72"/>
      <c r="B1296" s="74"/>
      <c r="C1296" s="71"/>
      <c r="D1296" s="71"/>
      <c r="E1296" s="72"/>
      <c r="F1296" s="70"/>
      <c r="G1296" s="72" t="str">
        <f t="shared" ca="1" si="40"/>
        <v/>
      </c>
      <c r="H1296" s="72"/>
      <c r="I1296" s="71"/>
      <c r="L1296" s="55" t="str">
        <f t="shared" ca="1" si="41"/>
        <v>NE</v>
      </c>
    </row>
    <row r="1297" spans="1:12" ht="27" thickBot="1">
      <c r="A1297" s="72"/>
      <c r="B1297" s="74"/>
      <c r="C1297" s="71"/>
      <c r="D1297" s="71"/>
      <c r="E1297" s="72"/>
      <c r="F1297" s="70"/>
      <c r="G1297" s="72" t="str">
        <f t="shared" ca="1" si="40"/>
        <v/>
      </c>
      <c r="H1297" s="72"/>
      <c r="I1297" s="71"/>
      <c r="L1297" s="55" t="str">
        <f t="shared" ca="1" si="41"/>
        <v>NE</v>
      </c>
    </row>
    <row r="1298" spans="1:12" ht="27" thickBot="1">
      <c r="A1298" s="72"/>
      <c r="B1298" s="74"/>
      <c r="C1298" s="71"/>
      <c r="D1298" s="71"/>
      <c r="E1298" s="72"/>
      <c r="F1298" s="70"/>
      <c r="G1298" s="72" t="str">
        <f t="shared" ca="1" si="40"/>
        <v/>
      </c>
      <c r="H1298" s="72"/>
      <c r="I1298" s="71"/>
      <c r="L1298" s="55" t="str">
        <f t="shared" ca="1" si="41"/>
        <v>NE</v>
      </c>
    </row>
    <row r="1299" spans="1:12" ht="27" thickBot="1">
      <c r="A1299" s="72"/>
      <c r="B1299" s="74"/>
      <c r="C1299" s="71"/>
      <c r="D1299" s="71"/>
      <c r="E1299" s="72"/>
      <c r="F1299" s="70"/>
      <c r="G1299" s="72" t="str">
        <f t="shared" ca="1" si="40"/>
        <v/>
      </c>
      <c r="H1299" s="72"/>
      <c r="I1299" s="71"/>
      <c r="L1299" s="55" t="str">
        <f t="shared" ca="1" si="41"/>
        <v>NE</v>
      </c>
    </row>
    <row r="1300" spans="1:12" ht="27" thickBot="1">
      <c r="A1300" s="72"/>
      <c r="B1300" s="74"/>
      <c r="C1300" s="71"/>
      <c r="D1300" s="71"/>
      <c r="E1300" s="72"/>
      <c r="F1300" s="70"/>
      <c r="G1300" s="72" t="str">
        <f t="shared" ca="1" si="40"/>
        <v/>
      </c>
      <c r="H1300" s="72"/>
      <c r="I1300" s="71"/>
      <c r="L1300" s="55" t="str">
        <f t="shared" ca="1" si="41"/>
        <v>NE</v>
      </c>
    </row>
    <row r="1301" spans="1:12" ht="27" thickBot="1">
      <c r="A1301" s="72"/>
      <c r="B1301" s="74"/>
      <c r="C1301" s="71"/>
      <c r="D1301" s="71"/>
      <c r="E1301" s="72"/>
      <c r="F1301" s="70"/>
      <c r="G1301" s="72" t="str">
        <f t="shared" ca="1" si="40"/>
        <v/>
      </c>
      <c r="H1301" s="72"/>
      <c r="I1301" s="71"/>
      <c r="L1301" s="55" t="str">
        <f t="shared" ca="1" si="41"/>
        <v>NE</v>
      </c>
    </row>
    <row r="1302" spans="1:12" ht="27" thickBot="1">
      <c r="A1302" s="72"/>
      <c r="B1302" s="74"/>
      <c r="C1302" s="71"/>
      <c r="D1302" s="71"/>
      <c r="E1302" s="72"/>
      <c r="F1302" s="70"/>
      <c r="G1302" s="72" t="str">
        <f t="shared" ca="1" si="40"/>
        <v/>
      </c>
      <c r="H1302" s="72"/>
      <c r="I1302" s="71"/>
      <c r="L1302" s="55" t="str">
        <f t="shared" ca="1" si="41"/>
        <v>NE</v>
      </c>
    </row>
    <row r="1303" spans="1:12" ht="27" thickBot="1">
      <c r="A1303" s="72"/>
      <c r="B1303" s="74"/>
      <c r="C1303" s="71"/>
      <c r="D1303" s="71"/>
      <c r="E1303" s="72"/>
      <c r="F1303" s="70"/>
      <c r="G1303" s="72" t="str">
        <f t="shared" ca="1" si="40"/>
        <v/>
      </c>
      <c r="H1303" s="72"/>
      <c r="I1303" s="71"/>
      <c r="L1303" s="55" t="str">
        <f t="shared" ca="1" si="41"/>
        <v>NE</v>
      </c>
    </row>
    <row r="1304" spans="1:12" ht="27" thickBot="1">
      <c r="A1304" s="72"/>
      <c r="B1304" s="74"/>
      <c r="C1304" s="71"/>
      <c r="D1304" s="71"/>
      <c r="E1304" s="72"/>
      <c r="F1304" s="70"/>
      <c r="G1304" s="72" t="str">
        <f t="shared" ca="1" si="40"/>
        <v/>
      </c>
      <c r="H1304" s="72"/>
      <c r="I1304" s="71"/>
      <c r="L1304" s="55" t="str">
        <f t="shared" ca="1" si="41"/>
        <v>NE</v>
      </c>
    </row>
    <row r="1305" spans="1:12" ht="27" thickBot="1">
      <c r="A1305" s="72"/>
      <c r="B1305" s="74"/>
      <c r="C1305" s="71"/>
      <c r="D1305" s="71"/>
      <c r="E1305" s="72"/>
      <c r="F1305" s="70"/>
      <c r="G1305" s="72" t="str">
        <f t="shared" ca="1" si="40"/>
        <v/>
      </c>
      <c r="H1305" s="72"/>
      <c r="I1305" s="71"/>
      <c r="L1305" s="55" t="str">
        <f t="shared" ca="1" si="41"/>
        <v>NE</v>
      </c>
    </row>
    <row r="1306" spans="1:12" ht="27" thickBot="1">
      <c r="A1306" s="72"/>
      <c r="B1306" s="74"/>
      <c r="C1306" s="71"/>
      <c r="D1306" s="71"/>
      <c r="E1306" s="72"/>
      <c r="F1306" s="70"/>
      <c r="G1306" s="72" t="str">
        <f t="shared" ca="1" si="40"/>
        <v/>
      </c>
      <c r="H1306" s="72"/>
      <c r="I1306" s="71"/>
      <c r="L1306" s="55" t="str">
        <f t="shared" ca="1" si="41"/>
        <v>NE</v>
      </c>
    </row>
    <row r="1307" spans="1:12" ht="27" thickBot="1">
      <c r="A1307" s="72"/>
      <c r="B1307" s="74"/>
      <c r="C1307" s="71"/>
      <c r="D1307" s="71"/>
      <c r="E1307" s="72"/>
      <c r="F1307" s="70"/>
      <c r="G1307" s="72" t="str">
        <f t="shared" ca="1" si="40"/>
        <v/>
      </c>
      <c r="H1307" s="72"/>
      <c r="I1307" s="71"/>
      <c r="L1307" s="55" t="str">
        <f t="shared" ca="1" si="41"/>
        <v>NE</v>
      </c>
    </row>
    <row r="1308" spans="1:12" ht="27" thickBot="1">
      <c r="A1308" s="72"/>
      <c r="B1308" s="74"/>
      <c r="C1308" s="71"/>
      <c r="D1308" s="71"/>
      <c r="E1308" s="72"/>
      <c r="F1308" s="70"/>
      <c r="G1308" s="72" t="str">
        <f t="shared" ca="1" si="40"/>
        <v/>
      </c>
      <c r="H1308" s="72"/>
      <c r="I1308" s="71"/>
      <c r="L1308" s="55" t="str">
        <f t="shared" ca="1" si="41"/>
        <v>NE</v>
      </c>
    </row>
    <row r="1309" spans="1:12" ht="27" thickBot="1">
      <c r="A1309" s="72"/>
      <c r="B1309" s="74"/>
      <c r="C1309" s="71"/>
      <c r="D1309" s="71"/>
      <c r="E1309" s="72"/>
      <c r="F1309" s="70"/>
      <c r="G1309" s="72" t="str">
        <f t="shared" ca="1" si="40"/>
        <v/>
      </c>
      <c r="H1309" s="72"/>
      <c r="I1309" s="71"/>
      <c r="L1309" s="55" t="str">
        <f t="shared" ca="1" si="41"/>
        <v>NE</v>
      </c>
    </row>
    <row r="1310" spans="1:12" ht="27" thickBot="1">
      <c r="A1310" s="72"/>
      <c r="B1310" s="74"/>
      <c r="C1310" s="71"/>
      <c r="D1310" s="71"/>
      <c r="E1310" s="72"/>
      <c r="F1310" s="70"/>
      <c r="G1310" s="72" t="str">
        <f t="shared" ca="1" si="40"/>
        <v/>
      </c>
      <c r="H1310" s="72"/>
      <c r="I1310" s="71"/>
      <c r="L1310" s="55" t="str">
        <f t="shared" ca="1" si="41"/>
        <v>NE</v>
      </c>
    </row>
    <row r="1311" spans="1:12" ht="27" thickBot="1">
      <c r="A1311" s="72"/>
      <c r="B1311" s="74"/>
      <c r="C1311" s="71"/>
      <c r="D1311" s="71"/>
      <c r="E1311" s="72"/>
      <c r="F1311" s="70"/>
      <c r="G1311" s="72" t="str">
        <f t="shared" ca="1" si="40"/>
        <v/>
      </c>
      <c r="H1311" s="72"/>
      <c r="I1311" s="71"/>
      <c r="L1311" s="55" t="str">
        <f t="shared" ca="1" si="41"/>
        <v>NE</v>
      </c>
    </row>
    <row r="1312" spans="1:12" ht="27" thickBot="1">
      <c r="A1312" s="72"/>
      <c r="B1312" s="74"/>
      <c r="C1312" s="71"/>
      <c r="D1312" s="71"/>
      <c r="E1312" s="72"/>
      <c r="F1312" s="70"/>
      <c r="G1312" s="72" t="str">
        <f t="shared" ca="1" si="40"/>
        <v/>
      </c>
      <c r="H1312" s="72"/>
      <c r="I1312" s="71"/>
      <c r="L1312" s="55" t="str">
        <f t="shared" ca="1" si="41"/>
        <v>NE</v>
      </c>
    </row>
    <row r="1313" spans="1:12" ht="27" thickBot="1">
      <c r="A1313" s="72"/>
      <c r="B1313" s="74"/>
      <c r="C1313" s="71"/>
      <c r="D1313" s="71"/>
      <c r="E1313" s="72"/>
      <c r="F1313" s="70"/>
      <c r="G1313" s="72" t="str">
        <f t="shared" ca="1" si="40"/>
        <v/>
      </c>
      <c r="H1313" s="72"/>
      <c r="I1313" s="71"/>
      <c r="L1313" s="55" t="str">
        <f t="shared" ca="1" si="41"/>
        <v>NE</v>
      </c>
    </row>
    <row r="1314" spans="1:12" ht="27" thickBot="1">
      <c r="A1314" s="72"/>
      <c r="B1314" s="74"/>
      <c r="C1314" s="71"/>
      <c r="D1314" s="71"/>
      <c r="E1314" s="72"/>
      <c r="F1314" s="70"/>
      <c r="G1314" s="72" t="str">
        <f t="shared" ca="1" si="40"/>
        <v/>
      </c>
      <c r="H1314" s="72"/>
      <c r="I1314" s="71"/>
      <c r="L1314" s="55" t="str">
        <f t="shared" ca="1" si="41"/>
        <v>NE</v>
      </c>
    </row>
    <row r="1315" spans="1:12" ht="27" thickBot="1">
      <c r="A1315" s="72"/>
      <c r="B1315" s="74"/>
      <c r="C1315" s="71"/>
      <c r="D1315" s="71"/>
      <c r="E1315" s="72"/>
      <c r="F1315" s="70"/>
      <c r="G1315" s="72" t="str">
        <f t="shared" ca="1" si="40"/>
        <v/>
      </c>
      <c r="H1315" s="72"/>
      <c r="I1315" s="71"/>
      <c r="L1315" s="55" t="str">
        <f t="shared" ca="1" si="41"/>
        <v>NE</v>
      </c>
    </row>
    <row r="1316" spans="1:12" ht="27" thickBot="1">
      <c r="A1316" s="72"/>
      <c r="B1316" s="74"/>
      <c r="C1316" s="71"/>
      <c r="D1316" s="71"/>
      <c r="E1316" s="72"/>
      <c r="F1316" s="70"/>
      <c r="G1316" s="72" t="str">
        <f t="shared" ca="1" si="40"/>
        <v/>
      </c>
      <c r="H1316" s="72"/>
      <c r="I1316" s="71"/>
      <c r="L1316" s="55" t="str">
        <f t="shared" ca="1" si="41"/>
        <v>NE</v>
      </c>
    </row>
    <row r="1317" spans="1:12" ht="27" thickBot="1">
      <c r="A1317" s="72"/>
      <c r="B1317" s="74"/>
      <c r="C1317" s="71"/>
      <c r="D1317" s="71"/>
      <c r="E1317" s="72"/>
      <c r="F1317" s="70"/>
      <c r="G1317" s="72" t="str">
        <f t="shared" ca="1" si="40"/>
        <v/>
      </c>
      <c r="H1317" s="72"/>
      <c r="I1317" s="71"/>
      <c r="L1317" s="55" t="str">
        <f t="shared" ca="1" si="41"/>
        <v>NE</v>
      </c>
    </row>
    <row r="1318" spans="1:12" ht="27" thickBot="1">
      <c r="A1318" s="72"/>
      <c r="B1318" s="74"/>
      <c r="C1318" s="71"/>
      <c r="D1318" s="71"/>
      <c r="E1318" s="72"/>
      <c r="F1318" s="70"/>
      <c r="G1318" s="72" t="str">
        <f t="shared" ca="1" si="40"/>
        <v/>
      </c>
      <c r="H1318" s="72"/>
      <c r="I1318" s="71"/>
      <c r="L1318" s="55" t="str">
        <f t="shared" ca="1" si="41"/>
        <v>NE</v>
      </c>
    </row>
    <row r="1319" spans="1:12" ht="27" thickBot="1">
      <c r="A1319" s="72"/>
      <c r="B1319" s="74"/>
      <c r="C1319" s="71"/>
      <c r="D1319" s="71"/>
      <c r="E1319" s="72"/>
      <c r="F1319" s="70"/>
      <c r="G1319" s="72" t="str">
        <f t="shared" ca="1" si="40"/>
        <v/>
      </c>
      <c r="H1319" s="72"/>
      <c r="I1319" s="71"/>
      <c r="L1319" s="55" t="str">
        <f t="shared" ca="1" si="41"/>
        <v>NE</v>
      </c>
    </row>
    <row r="1320" spans="1:12" ht="27" thickBot="1">
      <c r="A1320" s="72"/>
      <c r="B1320" s="74"/>
      <c r="C1320" s="71"/>
      <c r="D1320" s="71"/>
      <c r="E1320" s="72"/>
      <c r="F1320" s="70"/>
      <c r="G1320" s="72" t="str">
        <f t="shared" ca="1" si="40"/>
        <v/>
      </c>
      <c r="H1320" s="72"/>
      <c r="I1320" s="71"/>
      <c r="L1320" s="55" t="str">
        <f t="shared" ca="1" si="41"/>
        <v>NE</v>
      </c>
    </row>
    <row r="1321" spans="1:12" ht="27" thickBot="1">
      <c r="A1321" s="72"/>
      <c r="B1321" s="74"/>
      <c r="C1321" s="71"/>
      <c r="D1321" s="71"/>
      <c r="E1321" s="72"/>
      <c r="F1321" s="70"/>
      <c r="G1321" s="72" t="str">
        <f t="shared" ca="1" si="40"/>
        <v/>
      </c>
      <c r="H1321" s="72"/>
      <c r="I1321" s="71"/>
      <c r="L1321" s="55" t="str">
        <f t="shared" ca="1" si="41"/>
        <v>NE</v>
      </c>
    </row>
    <row r="1322" spans="1:12" ht="27" thickBot="1">
      <c r="A1322" s="72"/>
      <c r="B1322" s="74"/>
      <c r="C1322" s="71"/>
      <c r="D1322" s="71"/>
      <c r="E1322" s="72"/>
      <c r="F1322" s="70"/>
      <c r="G1322" s="72" t="str">
        <f t="shared" ca="1" si="40"/>
        <v/>
      </c>
      <c r="H1322" s="72"/>
      <c r="I1322" s="71"/>
      <c r="L1322" s="55" t="str">
        <f t="shared" ca="1" si="41"/>
        <v>NE</v>
      </c>
    </row>
    <row r="1323" spans="1:12" ht="27" thickBot="1">
      <c r="A1323" s="72"/>
      <c r="B1323" s="74"/>
      <c r="C1323" s="71"/>
      <c r="D1323" s="71"/>
      <c r="E1323" s="72"/>
      <c r="F1323" s="70"/>
      <c r="G1323" s="72" t="str">
        <f t="shared" ca="1" si="40"/>
        <v/>
      </c>
      <c r="H1323" s="72"/>
      <c r="I1323" s="71"/>
      <c r="L1323" s="55" t="str">
        <f t="shared" ca="1" si="41"/>
        <v>NE</v>
      </c>
    </row>
    <row r="1324" spans="1:12" ht="27" thickBot="1">
      <c r="A1324" s="72"/>
      <c r="B1324" s="74"/>
      <c r="C1324" s="71"/>
      <c r="D1324" s="71"/>
      <c r="E1324" s="72"/>
      <c r="F1324" s="70"/>
      <c r="G1324" s="72" t="str">
        <f t="shared" ca="1" si="40"/>
        <v/>
      </c>
      <c r="H1324" s="72"/>
      <c r="I1324" s="71"/>
      <c r="L1324" s="55" t="str">
        <f t="shared" ca="1" si="41"/>
        <v>NE</v>
      </c>
    </row>
    <row r="1325" spans="1:12" ht="27" thickBot="1">
      <c r="A1325" s="72"/>
      <c r="B1325" s="74"/>
      <c r="C1325" s="71"/>
      <c r="D1325" s="71"/>
      <c r="E1325" s="72"/>
      <c r="F1325" s="70"/>
      <c r="G1325" s="72" t="str">
        <f t="shared" ca="1" si="40"/>
        <v/>
      </c>
      <c r="H1325" s="72"/>
      <c r="I1325" s="71"/>
      <c r="L1325" s="55" t="str">
        <f t="shared" ca="1" si="41"/>
        <v>NE</v>
      </c>
    </row>
    <row r="1326" spans="1:12" ht="27" thickBot="1">
      <c r="A1326" s="72"/>
      <c r="B1326" s="74"/>
      <c r="C1326" s="71"/>
      <c r="D1326" s="71"/>
      <c r="E1326" s="72"/>
      <c r="F1326" s="70"/>
      <c r="G1326" s="72" t="str">
        <f t="shared" ref="G1326:G1389" ca="1" si="42">IF(ISBLANK(F1326),"",IF(F1326&gt;=TODAY(), "Non Echue", "Echue"))</f>
        <v/>
      </c>
      <c r="H1326" s="72"/>
      <c r="I1326" s="71"/>
      <c r="L1326" s="55" t="str">
        <f t="shared" ref="L1326:L1389" ca="1" si="43" xml:space="preserve"> IF(G1326 = "Echue",IF(H1326 = "Appliqué","EAP","NAP"),"NE")</f>
        <v>NE</v>
      </c>
    </row>
    <row r="1327" spans="1:12" ht="27" thickBot="1">
      <c r="A1327" s="72"/>
      <c r="B1327" s="74"/>
      <c r="C1327" s="71"/>
      <c r="D1327" s="71"/>
      <c r="E1327" s="72"/>
      <c r="F1327" s="70"/>
      <c r="G1327" s="72" t="str">
        <f t="shared" ca="1" si="42"/>
        <v/>
      </c>
      <c r="H1327" s="72"/>
      <c r="I1327" s="71"/>
      <c r="L1327" s="55" t="str">
        <f t="shared" ca="1" si="43"/>
        <v>NE</v>
      </c>
    </row>
    <row r="1328" spans="1:12" ht="27" thickBot="1">
      <c r="A1328" s="72"/>
      <c r="B1328" s="74"/>
      <c r="C1328" s="71"/>
      <c r="D1328" s="71"/>
      <c r="E1328" s="72"/>
      <c r="F1328" s="70"/>
      <c r="G1328" s="72" t="str">
        <f t="shared" ca="1" si="42"/>
        <v/>
      </c>
      <c r="H1328" s="72"/>
      <c r="I1328" s="71"/>
      <c r="L1328" s="55" t="str">
        <f t="shared" ca="1" si="43"/>
        <v>NE</v>
      </c>
    </row>
    <row r="1329" spans="1:12" ht="27" thickBot="1">
      <c r="A1329" s="72"/>
      <c r="B1329" s="74"/>
      <c r="C1329" s="71"/>
      <c r="D1329" s="71"/>
      <c r="E1329" s="72"/>
      <c r="F1329" s="70"/>
      <c r="G1329" s="72" t="str">
        <f t="shared" ca="1" si="42"/>
        <v/>
      </c>
      <c r="H1329" s="72"/>
      <c r="I1329" s="71"/>
      <c r="L1329" s="55" t="str">
        <f t="shared" ca="1" si="43"/>
        <v>NE</v>
      </c>
    </row>
    <row r="1330" spans="1:12" ht="27" thickBot="1">
      <c r="A1330" s="72"/>
      <c r="B1330" s="74"/>
      <c r="C1330" s="71"/>
      <c r="D1330" s="71"/>
      <c r="E1330" s="72"/>
      <c r="F1330" s="70"/>
      <c r="G1330" s="72" t="str">
        <f t="shared" ca="1" si="42"/>
        <v/>
      </c>
      <c r="H1330" s="72"/>
      <c r="I1330" s="71"/>
      <c r="L1330" s="55" t="str">
        <f t="shared" ca="1" si="43"/>
        <v>NE</v>
      </c>
    </row>
    <row r="1331" spans="1:12" ht="27" thickBot="1">
      <c r="A1331" s="72"/>
      <c r="B1331" s="74"/>
      <c r="C1331" s="71"/>
      <c r="D1331" s="71"/>
      <c r="E1331" s="72"/>
      <c r="F1331" s="70"/>
      <c r="G1331" s="72" t="str">
        <f t="shared" ca="1" si="42"/>
        <v/>
      </c>
      <c r="H1331" s="72"/>
      <c r="I1331" s="71"/>
      <c r="L1331" s="55" t="str">
        <f t="shared" ca="1" si="43"/>
        <v>NE</v>
      </c>
    </row>
    <row r="1332" spans="1:12" ht="27" thickBot="1">
      <c r="A1332" s="72"/>
      <c r="B1332" s="74"/>
      <c r="C1332" s="71"/>
      <c r="D1332" s="71"/>
      <c r="E1332" s="72"/>
      <c r="F1332" s="70"/>
      <c r="G1332" s="72" t="str">
        <f t="shared" ca="1" si="42"/>
        <v/>
      </c>
      <c r="H1332" s="72"/>
      <c r="I1332" s="71"/>
      <c r="L1332" s="55" t="str">
        <f t="shared" ca="1" si="43"/>
        <v>NE</v>
      </c>
    </row>
    <row r="1333" spans="1:12" ht="27" thickBot="1">
      <c r="A1333" s="72"/>
      <c r="B1333" s="74"/>
      <c r="C1333" s="71"/>
      <c r="D1333" s="71"/>
      <c r="E1333" s="72"/>
      <c r="F1333" s="70"/>
      <c r="G1333" s="72" t="str">
        <f t="shared" ca="1" si="42"/>
        <v/>
      </c>
      <c r="H1333" s="72"/>
      <c r="I1333" s="71"/>
      <c r="L1333" s="55" t="str">
        <f t="shared" ca="1" si="43"/>
        <v>NE</v>
      </c>
    </row>
    <row r="1334" spans="1:12" ht="27" thickBot="1">
      <c r="A1334" s="72"/>
      <c r="B1334" s="74"/>
      <c r="C1334" s="71"/>
      <c r="D1334" s="71"/>
      <c r="E1334" s="72"/>
      <c r="F1334" s="70"/>
      <c r="G1334" s="72" t="str">
        <f t="shared" ca="1" si="42"/>
        <v/>
      </c>
      <c r="H1334" s="72"/>
      <c r="I1334" s="71"/>
      <c r="L1334" s="55" t="str">
        <f t="shared" ca="1" si="43"/>
        <v>NE</v>
      </c>
    </row>
    <row r="1335" spans="1:12" ht="27" thickBot="1">
      <c r="A1335" s="72"/>
      <c r="B1335" s="74"/>
      <c r="C1335" s="71"/>
      <c r="D1335" s="71"/>
      <c r="E1335" s="72"/>
      <c r="F1335" s="70"/>
      <c r="G1335" s="72" t="str">
        <f t="shared" ca="1" si="42"/>
        <v/>
      </c>
      <c r="H1335" s="72"/>
      <c r="I1335" s="71"/>
      <c r="L1335" s="55" t="str">
        <f t="shared" ca="1" si="43"/>
        <v>NE</v>
      </c>
    </row>
    <row r="1336" spans="1:12" ht="27" thickBot="1">
      <c r="A1336" s="72"/>
      <c r="B1336" s="74"/>
      <c r="C1336" s="71"/>
      <c r="D1336" s="71"/>
      <c r="E1336" s="72"/>
      <c r="F1336" s="70"/>
      <c r="G1336" s="72" t="str">
        <f t="shared" ca="1" si="42"/>
        <v/>
      </c>
      <c r="H1336" s="72"/>
      <c r="I1336" s="71"/>
      <c r="L1336" s="55" t="str">
        <f t="shared" ca="1" si="43"/>
        <v>NE</v>
      </c>
    </row>
    <row r="1337" spans="1:12" ht="27" thickBot="1">
      <c r="A1337" s="72"/>
      <c r="B1337" s="74"/>
      <c r="C1337" s="71"/>
      <c r="D1337" s="71"/>
      <c r="E1337" s="72"/>
      <c r="F1337" s="70"/>
      <c r="G1337" s="72" t="str">
        <f t="shared" ca="1" si="42"/>
        <v/>
      </c>
      <c r="H1337" s="72"/>
      <c r="I1337" s="71"/>
      <c r="L1337" s="55" t="str">
        <f t="shared" ca="1" si="43"/>
        <v>NE</v>
      </c>
    </row>
    <row r="1338" spans="1:12" ht="27" thickBot="1">
      <c r="A1338" s="72"/>
      <c r="B1338" s="74"/>
      <c r="C1338" s="71"/>
      <c r="D1338" s="71"/>
      <c r="E1338" s="72"/>
      <c r="F1338" s="70"/>
      <c r="G1338" s="72" t="str">
        <f t="shared" ca="1" si="42"/>
        <v/>
      </c>
      <c r="H1338" s="72"/>
      <c r="I1338" s="71"/>
      <c r="L1338" s="55" t="str">
        <f t="shared" ca="1" si="43"/>
        <v>NE</v>
      </c>
    </row>
    <row r="1339" spans="1:12" ht="27" thickBot="1">
      <c r="A1339" s="72"/>
      <c r="B1339" s="74"/>
      <c r="C1339" s="71"/>
      <c r="D1339" s="71"/>
      <c r="E1339" s="72"/>
      <c r="F1339" s="70"/>
      <c r="G1339" s="72" t="str">
        <f t="shared" ca="1" si="42"/>
        <v/>
      </c>
      <c r="H1339" s="72"/>
      <c r="I1339" s="71"/>
      <c r="L1339" s="55" t="str">
        <f t="shared" ca="1" si="43"/>
        <v>NE</v>
      </c>
    </row>
    <row r="1340" spans="1:12" ht="27" thickBot="1">
      <c r="A1340" s="72"/>
      <c r="B1340" s="74"/>
      <c r="C1340" s="71"/>
      <c r="D1340" s="71"/>
      <c r="E1340" s="72"/>
      <c r="F1340" s="70"/>
      <c r="G1340" s="72" t="str">
        <f t="shared" ca="1" si="42"/>
        <v/>
      </c>
      <c r="H1340" s="72"/>
      <c r="I1340" s="71"/>
      <c r="L1340" s="55" t="str">
        <f t="shared" ca="1" si="43"/>
        <v>NE</v>
      </c>
    </row>
    <row r="1341" spans="1:12" ht="27" thickBot="1">
      <c r="A1341" s="72"/>
      <c r="B1341" s="74"/>
      <c r="C1341" s="71"/>
      <c r="D1341" s="71"/>
      <c r="E1341" s="72"/>
      <c r="F1341" s="70"/>
      <c r="G1341" s="72" t="str">
        <f t="shared" ca="1" si="42"/>
        <v/>
      </c>
      <c r="H1341" s="72"/>
      <c r="I1341" s="71"/>
      <c r="L1341" s="55" t="str">
        <f t="shared" ca="1" si="43"/>
        <v>NE</v>
      </c>
    </row>
    <row r="1342" spans="1:12" ht="27" thickBot="1">
      <c r="A1342" s="72"/>
      <c r="B1342" s="74"/>
      <c r="C1342" s="71"/>
      <c r="D1342" s="71"/>
      <c r="E1342" s="72"/>
      <c r="F1342" s="70"/>
      <c r="G1342" s="72" t="str">
        <f t="shared" ca="1" si="42"/>
        <v/>
      </c>
      <c r="H1342" s="72"/>
      <c r="I1342" s="71"/>
      <c r="L1342" s="55" t="str">
        <f t="shared" ca="1" si="43"/>
        <v>NE</v>
      </c>
    </row>
    <row r="1343" spans="1:12" ht="27" thickBot="1">
      <c r="A1343" s="72"/>
      <c r="B1343" s="74"/>
      <c r="C1343" s="71"/>
      <c r="D1343" s="71"/>
      <c r="E1343" s="72"/>
      <c r="F1343" s="70"/>
      <c r="G1343" s="72" t="str">
        <f t="shared" ca="1" si="42"/>
        <v/>
      </c>
      <c r="H1343" s="72"/>
      <c r="I1343" s="71"/>
      <c r="L1343" s="55" t="str">
        <f t="shared" ca="1" si="43"/>
        <v>NE</v>
      </c>
    </row>
    <row r="1344" spans="1:12" ht="27" thickBot="1">
      <c r="A1344" s="72"/>
      <c r="B1344" s="74"/>
      <c r="C1344" s="71"/>
      <c r="D1344" s="71"/>
      <c r="E1344" s="72"/>
      <c r="F1344" s="70"/>
      <c r="G1344" s="72" t="str">
        <f t="shared" ca="1" si="42"/>
        <v/>
      </c>
      <c r="H1344" s="72"/>
      <c r="I1344" s="71"/>
      <c r="L1344" s="55" t="str">
        <f t="shared" ca="1" si="43"/>
        <v>NE</v>
      </c>
    </row>
    <row r="1345" spans="1:12" ht="27" thickBot="1">
      <c r="A1345" s="72"/>
      <c r="B1345" s="74"/>
      <c r="C1345" s="71"/>
      <c r="D1345" s="71"/>
      <c r="E1345" s="72"/>
      <c r="F1345" s="70"/>
      <c r="G1345" s="72" t="str">
        <f t="shared" ca="1" si="42"/>
        <v/>
      </c>
      <c r="H1345" s="72"/>
      <c r="I1345" s="71"/>
      <c r="L1345" s="55" t="str">
        <f t="shared" ca="1" si="43"/>
        <v>NE</v>
      </c>
    </row>
    <row r="1346" spans="1:12" ht="27" thickBot="1">
      <c r="A1346" s="72"/>
      <c r="B1346" s="74"/>
      <c r="C1346" s="71"/>
      <c r="D1346" s="71"/>
      <c r="E1346" s="72"/>
      <c r="F1346" s="70"/>
      <c r="G1346" s="72" t="str">
        <f t="shared" ca="1" si="42"/>
        <v/>
      </c>
      <c r="H1346" s="72"/>
      <c r="I1346" s="71"/>
      <c r="L1346" s="55" t="str">
        <f t="shared" ca="1" si="43"/>
        <v>NE</v>
      </c>
    </row>
    <row r="1347" spans="1:12" ht="27" thickBot="1">
      <c r="A1347" s="72"/>
      <c r="B1347" s="74"/>
      <c r="C1347" s="71"/>
      <c r="D1347" s="71"/>
      <c r="E1347" s="72"/>
      <c r="F1347" s="70"/>
      <c r="G1347" s="72" t="str">
        <f t="shared" ca="1" si="42"/>
        <v/>
      </c>
      <c r="H1347" s="72"/>
      <c r="I1347" s="71"/>
      <c r="L1347" s="55" t="str">
        <f t="shared" ca="1" si="43"/>
        <v>NE</v>
      </c>
    </row>
    <row r="1348" spans="1:12" ht="27" thickBot="1">
      <c r="A1348" s="72"/>
      <c r="B1348" s="74"/>
      <c r="C1348" s="71"/>
      <c r="D1348" s="71"/>
      <c r="E1348" s="72"/>
      <c r="F1348" s="70"/>
      <c r="G1348" s="72" t="str">
        <f t="shared" ca="1" si="42"/>
        <v/>
      </c>
      <c r="H1348" s="72"/>
      <c r="I1348" s="71"/>
      <c r="L1348" s="55" t="str">
        <f t="shared" ca="1" si="43"/>
        <v>NE</v>
      </c>
    </row>
    <row r="1349" spans="1:12" ht="27" thickBot="1">
      <c r="A1349" s="72"/>
      <c r="B1349" s="74"/>
      <c r="C1349" s="71"/>
      <c r="D1349" s="71"/>
      <c r="E1349" s="72"/>
      <c r="F1349" s="70"/>
      <c r="G1349" s="72" t="str">
        <f t="shared" ca="1" si="42"/>
        <v/>
      </c>
      <c r="H1349" s="72"/>
      <c r="I1349" s="71"/>
      <c r="L1349" s="55" t="str">
        <f t="shared" ca="1" si="43"/>
        <v>NE</v>
      </c>
    </row>
    <row r="1350" spans="1:12" ht="27" thickBot="1">
      <c r="A1350" s="72"/>
      <c r="B1350" s="74"/>
      <c r="C1350" s="71"/>
      <c r="D1350" s="71"/>
      <c r="E1350" s="72"/>
      <c r="F1350" s="70"/>
      <c r="G1350" s="72" t="str">
        <f t="shared" ca="1" si="42"/>
        <v/>
      </c>
      <c r="H1350" s="72"/>
      <c r="I1350" s="71"/>
      <c r="L1350" s="55" t="str">
        <f t="shared" ca="1" si="43"/>
        <v>NE</v>
      </c>
    </row>
    <row r="1351" spans="1:12" ht="27" thickBot="1">
      <c r="A1351" s="72"/>
      <c r="B1351" s="74"/>
      <c r="C1351" s="71"/>
      <c r="D1351" s="71"/>
      <c r="E1351" s="72"/>
      <c r="F1351" s="70"/>
      <c r="G1351" s="72" t="str">
        <f t="shared" ca="1" si="42"/>
        <v/>
      </c>
      <c r="H1351" s="72"/>
      <c r="I1351" s="71"/>
      <c r="L1351" s="55" t="str">
        <f t="shared" ca="1" si="43"/>
        <v>NE</v>
      </c>
    </row>
    <row r="1352" spans="1:12" ht="27" thickBot="1">
      <c r="A1352" s="72"/>
      <c r="B1352" s="74"/>
      <c r="C1352" s="71"/>
      <c r="D1352" s="71"/>
      <c r="E1352" s="72"/>
      <c r="F1352" s="70"/>
      <c r="G1352" s="72" t="str">
        <f t="shared" ca="1" si="42"/>
        <v/>
      </c>
      <c r="H1352" s="72"/>
      <c r="I1352" s="71"/>
      <c r="L1352" s="55" t="str">
        <f t="shared" ca="1" si="43"/>
        <v>NE</v>
      </c>
    </row>
    <row r="1353" spans="1:12" ht="27" thickBot="1">
      <c r="A1353" s="72"/>
      <c r="B1353" s="74"/>
      <c r="C1353" s="71"/>
      <c r="D1353" s="71"/>
      <c r="E1353" s="72"/>
      <c r="F1353" s="70"/>
      <c r="G1353" s="72" t="str">
        <f t="shared" ca="1" si="42"/>
        <v/>
      </c>
      <c r="H1353" s="72"/>
      <c r="I1353" s="71"/>
      <c r="L1353" s="55" t="str">
        <f t="shared" ca="1" si="43"/>
        <v>NE</v>
      </c>
    </row>
    <row r="1354" spans="1:12" ht="27" thickBot="1">
      <c r="A1354" s="72"/>
      <c r="B1354" s="74"/>
      <c r="C1354" s="71"/>
      <c r="D1354" s="71"/>
      <c r="E1354" s="72"/>
      <c r="F1354" s="70"/>
      <c r="G1354" s="72" t="str">
        <f t="shared" ca="1" si="42"/>
        <v/>
      </c>
      <c r="H1354" s="72"/>
      <c r="I1354" s="71"/>
      <c r="L1354" s="55" t="str">
        <f t="shared" ca="1" si="43"/>
        <v>NE</v>
      </c>
    </row>
    <row r="1355" spans="1:12" ht="27" thickBot="1">
      <c r="A1355" s="72"/>
      <c r="B1355" s="74"/>
      <c r="C1355" s="71"/>
      <c r="D1355" s="71"/>
      <c r="E1355" s="72"/>
      <c r="F1355" s="70"/>
      <c r="G1355" s="72" t="str">
        <f t="shared" ca="1" si="42"/>
        <v/>
      </c>
      <c r="H1355" s="72"/>
      <c r="I1355" s="71"/>
      <c r="L1355" s="55" t="str">
        <f t="shared" ca="1" si="43"/>
        <v>NE</v>
      </c>
    </row>
    <row r="1356" spans="1:12" ht="27" thickBot="1">
      <c r="A1356" s="72"/>
      <c r="B1356" s="74"/>
      <c r="C1356" s="71"/>
      <c r="D1356" s="71"/>
      <c r="E1356" s="72"/>
      <c r="F1356" s="70"/>
      <c r="G1356" s="72" t="str">
        <f t="shared" ca="1" si="42"/>
        <v/>
      </c>
      <c r="H1356" s="72"/>
      <c r="I1356" s="71"/>
      <c r="L1356" s="55" t="str">
        <f t="shared" ca="1" si="43"/>
        <v>NE</v>
      </c>
    </row>
    <row r="1357" spans="1:12" ht="27" thickBot="1">
      <c r="A1357" s="72"/>
      <c r="B1357" s="74"/>
      <c r="C1357" s="71"/>
      <c r="D1357" s="71"/>
      <c r="E1357" s="72"/>
      <c r="F1357" s="70"/>
      <c r="G1357" s="72" t="str">
        <f t="shared" ca="1" si="42"/>
        <v/>
      </c>
      <c r="H1357" s="72"/>
      <c r="I1357" s="71"/>
      <c r="L1357" s="55" t="str">
        <f t="shared" ca="1" si="43"/>
        <v>NE</v>
      </c>
    </row>
    <row r="1358" spans="1:12" ht="27" thickBot="1">
      <c r="A1358" s="72"/>
      <c r="B1358" s="74"/>
      <c r="C1358" s="71"/>
      <c r="D1358" s="71"/>
      <c r="E1358" s="72"/>
      <c r="F1358" s="70"/>
      <c r="G1358" s="72" t="str">
        <f t="shared" ca="1" si="42"/>
        <v/>
      </c>
      <c r="H1358" s="72"/>
      <c r="I1358" s="71"/>
      <c r="L1358" s="55" t="str">
        <f t="shared" ca="1" si="43"/>
        <v>NE</v>
      </c>
    </row>
    <row r="1359" spans="1:12" ht="27" thickBot="1">
      <c r="A1359" s="72"/>
      <c r="B1359" s="74"/>
      <c r="C1359" s="71"/>
      <c r="D1359" s="71"/>
      <c r="E1359" s="72"/>
      <c r="F1359" s="70"/>
      <c r="G1359" s="72" t="str">
        <f t="shared" ca="1" si="42"/>
        <v/>
      </c>
      <c r="H1359" s="72"/>
      <c r="I1359" s="71"/>
      <c r="L1359" s="55" t="str">
        <f t="shared" ca="1" si="43"/>
        <v>NE</v>
      </c>
    </row>
    <row r="1360" spans="1:12" ht="27" thickBot="1">
      <c r="A1360" s="72"/>
      <c r="B1360" s="74"/>
      <c r="C1360" s="71"/>
      <c r="D1360" s="71"/>
      <c r="E1360" s="72"/>
      <c r="F1360" s="70"/>
      <c r="G1360" s="72" t="str">
        <f t="shared" ca="1" si="42"/>
        <v/>
      </c>
      <c r="H1360" s="72"/>
      <c r="I1360" s="71"/>
      <c r="L1360" s="55" t="str">
        <f t="shared" ca="1" si="43"/>
        <v>NE</v>
      </c>
    </row>
    <row r="1361" spans="1:12" ht="27" thickBot="1">
      <c r="A1361" s="72"/>
      <c r="B1361" s="74"/>
      <c r="C1361" s="71"/>
      <c r="D1361" s="71"/>
      <c r="E1361" s="72"/>
      <c r="F1361" s="70"/>
      <c r="G1361" s="72" t="str">
        <f t="shared" ca="1" si="42"/>
        <v/>
      </c>
      <c r="H1361" s="72"/>
      <c r="I1361" s="71"/>
      <c r="L1361" s="55" t="str">
        <f t="shared" ca="1" si="43"/>
        <v>NE</v>
      </c>
    </row>
    <row r="1362" spans="1:12" ht="27" thickBot="1">
      <c r="A1362" s="72"/>
      <c r="B1362" s="74"/>
      <c r="C1362" s="71"/>
      <c r="D1362" s="71"/>
      <c r="E1362" s="72"/>
      <c r="F1362" s="70"/>
      <c r="G1362" s="72" t="str">
        <f t="shared" ca="1" si="42"/>
        <v/>
      </c>
      <c r="H1362" s="72"/>
      <c r="I1362" s="71"/>
      <c r="L1362" s="55" t="str">
        <f t="shared" ca="1" si="43"/>
        <v>NE</v>
      </c>
    </row>
    <row r="1363" spans="1:12" ht="27" thickBot="1">
      <c r="A1363" s="72"/>
      <c r="B1363" s="74"/>
      <c r="C1363" s="71"/>
      <c r="D1363" s="71"/>
      <c r="E1363" s="72"/>
      <c r="F1363" s="70"/>
      <c r="G1363" s="72" t="str">
        <f t="shared" ca="1" si="42"/>
        <v/>
      </c>
      <c r="H1363" s="72"/>
      <c r="I1363" s="71"/>
      <c r="L1363" s="55" t="str">
        <f t="shared" ca="1" si="43"/>
        <v>NE</v>
      </c>
    </row>
    <row r="1364" spans="1:12" ht="27" thickBot="1">
      <c r="A1364" s="72"/>
      <c r="B1364" s="74"/>
      <c r="C1364" s="71"/>
      <c r="D1364" s="71"/>
      <c r="E1364" s="72"/>
      <c r="F1364" s="70"/>
      <c r="G1364" s="72" t="str">
        <f t="shared" ca="1" si="42"/>
        <v/>
      </c>
      <c r="H1364" s="72"/>
      <c r="I1364" s="71"/>
      <c r="L1364" s="55" t="str">
        <f t="shared" ca="1" si="43"/>
        <v>NE</v>
      </c>
    </row>
    <row r="1365" spans="1:12" ht="27" thickBot="1">
      <c r="A1365" s="72"/>
      <c r="B1365" s="74"/>
      <c r="C1365" s="71"/>
      <c r="D1365" s="71"/>
      <c r="E1365" s="72"/>
      <c r="F1365" s="70"/>
      <c r="G1365" s="72" t="str">
        <f t="shared" ca="1" si="42"/>
        <v/>
      </c>
      <c r="H1365" s="72"/>
      <c r="I1365" s="71"/>
      <c r="L1365" s="55" t="str">
        <f t="shared" ca="1" si="43"/>
        <v>NE</v>
      </c>
    </row>
    <row r="1366" spans="1:12" ht="27" thickBot="1">
      <c r="A1366" s="72"/>
      <c r="B1366" s="74"/>
      <c r="C1366" s="71"/>
      <c r="D1366" s="71"/>
      <c r="E1366" s="72"/>
      <c r="F1366" s="70"/>
      <c r="G1366" s="72" t="str">
        <f t="shared" ca="1" si="42"/>
        <v/>
      </c>
      <c r="H1366" s="72"/>
      <c r="I1366" s="71"/>
      <c r="L1366" s="55" t="str">
        <f t="shared" ca="1" si="43"/>
        <v>NE</v>
      </c>
    </row>
    <row r="1367" spans="1:12" ht="27" thickBot="1">
      <c r="A1367" s="72"/>
      <c r="B1367" s="74"/>
      <c r="C1367" s="71"/>
      <c r="D1367" s="71"/>
      <c r="E1367" s="72"/>
      <c r="F1367" s="70"/>
      <c r="G1367" s="72" t="str">
        <f t="shared" ca="1" si="42"/>
        <v/>
      </c>
      <c r="H1367" s="72"/>
      <c r="I1367" s="71"/>
      <c r="L1367" s="55" t="str">
        <f t="shared" ca="1" si="43"/>
        <v>NE</v>
      </c>
    </row>
    <row r="1368" spans="1:12" ht="27" thickBot="1">
      <c r="A1368" s="72"/>
      <c r="B1368" s="74"/>
      <c r="C1368" s="71"/>
      <c r="D1368" s="71"/>
      <c r="E1368" s="72"/>
      <c r="F1368" s="70"/>
      <c r="G1368" s="72" t="str">
        <f t="shared" ca="1" si="42"/>
        <v/>
      </c>
      <c r="H1368" s="72"/>
      <c r="I1368" s="71"/>
      <c r="L1368" s="55" t="str">
        <f t="shared" ca="1" si="43"/>
        <v>NE</v>
      </c>
    </row>
    <row r="1369" spans="1:12" ht="27" thickBot="1">
      <c r="A1369" s="72"/>
      <c r="B1369" s="74"/>
      <c r="C1369" s="71"/>
      <c r="D1369" s="71"/>
      <c r="E1369" s="72"/>
      <c r="F1369" s="70"/>
      <c r="G1369" s="72" t="str">
        <f t="shared" ca="1" si="42"/>
        <v/>
      </c>
      <c r="H1369" s="72"/>
      <c r="I1369" s="71"/>
      <c r="L1369" s="55" t="str">
        <f t="shared" ca="1" si="43"/>
        <v>NE</v>
      </c>
    </row>
    <row r="1370" spans="1:12" ht="27" thickBot="1">
      <c r="A1370" s="72"/>
      <c r="B1370" s="74"/>
      <c r="C1370" s="71"/>
      <c r="D1370" s="71"/>
      <c r="E1370" s="72"/>
      <c r="F1370" s="70"/>
      <c r="G1370" s="72" t="str">
        <f t="shared" ca="1" si="42"/>
        <v/>
      </c>
      <c r="H1370" s="72"/>
      <c r="I1370" s="71"/>
      <c r="L1370" s="55" t="str">
        <f t="shared" ca="1" si="43"/>
        <v>NE</v>
      </c>
    </row>
    <row r="1371" spans="1:12" ht="27" thickBot="1">
      <c r="A1371" s="72"/>
      <c r="B1371" s="74"/>
      <c r="C1371" s="71"/>
      <c r="D1371" s="71"/>
      <c r="E1371" s="72"/>
      <c r="F1371" s="70"/>
      <c r="G1371" s="72" t="str">
        <f t="shared" ca="1" si="42"/>
        <v/>
      </c>
      <c r="H1371" s="72"/>
      <c r="I1371" s="71"/>
      <c r="L1371" s="55" t="str">
        <f t="shared" ca="1" si="43"/>
        <v>NE</v>
      </c>
    </row>
    <row r="1372" spans="1:12" ht="27" thickBot="1">
      <c r="A1372" s="72"/>
      <c r="B1372" s="74"/>
      <c r="C1372" s="71"/>
      <c r="D1372" s="71"/>
      <c r="E1372" s="72"/>
      <c r="F1372" s="70"/>
      <c r="G1372" s="72" t="str">
        <f t="shared" ca="1" si="42"/>
        <v/>
      </c>
      <c r="H1372" s="72"/>
      <c r="I1372" s="71"/>
      <c r="L1372" s="55" t="str">
        <f t="shared" ca="1" si="43"/>
        <v>NE</v>
      </c>
    </row>
    <row r="1373" spans="1:12" ht="27" thickBot="1">
      <c r="A1373" s="72"/>
      <c r="B1373" s="74"/>
      <c r="C1373" s="71"/>
      <c r="D1373" s="71"/>
      <c r="E1373" s="72"/>
      <c r="F1373" s="70"/>
      <c r="G1373" s="72" t="str">
        <f t="shared" ca="1" si="42"/>
        <v/>
      </c>
      <c r="H1373" s="72"/>
      <c r="I1373" s="71"/>
      <c r="L1373" s="55" t="str">
        <f t="shared" ca="1" si="43"/>
        <v>NE</v>
      </c>
    </row>
    <row r="1374" spans="1:12" ht="27" thickBot="1">
      <c r="A1374" s="72"/>
      <c r="B1374" s="74"/>
      <c r="C1374" s="71"/>
      <c r="D1374" s="71"/>
      <c r="E1374" s="72"/>
      <c r="F1374" s="70"/>
      <c r="G1374" s="72" t="str">
        <f t="shared" ca="1" si="42"/>
        <v/>
      </c>
      <c r="H1374" s="72"/>
      <c r="I1374" s="71"/>
      <c r="L1374" s="55" t="str">
        <f t="shared" ca="1" si="43"/>
        <v>NE</v>
      </c>
    </row>
    <row r="1375" spans="1:12" ht="27" thickBot="1">
      <c r="A1375" s="72"/>
      <c r="B1375" s="74"/>
      <c r="C1375" s="71"/>
      <c r="D1375" s="71"/>
      <c r="E1375" s="72"/>
      <c r="F1375" s="70"/>
      <c r="G1375" s="72" t="str">
        <f t="shared" ca="1" si="42"/>
        <v/>
      </c>
      <c r="H1375" s="72"/>
      <c r="I1375" s="71"/>
      <c r="L1375" s="55" t="str">
        <f t="shared" ca="1" si="43"/>
        <v>NE</v>
      </c>
    </row>
    <row r="1376" spans="1:12" ht="27" thickBot="1">
      <c r="A1376" s="72"/>
      <c r="B1376" s="74"/>
      <c r="C1376" s="71"/>
      <c r="D1376" s="71"/>
      <c r="E1376" s="72"/>
      <c r="F1376" s="70"/>
      <c r="G1376" s="72" t="str">
        <f t="shared" ca="1" si="42"/>
        <v/>
      </c>
      <c r="H1376" s="72"/>
      <c r="I1376" s="71"/>
      <c r="L1376" s="55" t="str">
        <f t="shared" ca="1" si="43"/>
        <v>NE</v>
      </c>
    </row>
    <row r="1377" spans="1:12" ht="27" thickBot="1">
      <c r="A1377" s="72"/>
      <c r="B1377" s="74"/>
      <c r="C1377" s="71"/>
      <c r="D1377" s="71"/>
      <c r="E1377" s="72"/>
      <c r="F1377" s="70"/>
      <c r="G1377" s="72" t="str">
        <f t="shared" ca="1" si="42"/>
        <v/>
      </c>
      <c r="H1377" s="72"/>
      <c r="I1377" s="71"/>
      <c r="L1377" s="55" t="str">
        <f t="shared" ca="1" si="43"/>
        <v>NE</v>
      </c>
    </row>
    <row r="1378" spans="1:12" ht="27" thickBot="1">
      <c r="A1378" s="72"/>
      <c r="B1378" s="74"/>
      <c r="C1378" s="71"/>
      <c r="D1378" s="71"/>
      <c r="E1378" s="72"/>
      <c r="F1378" s="70"/>
      <c r="G1378" s="72" t="str">
        <f t="shared" ca="1" si="42"/>
        <v/>
      </c>
      <c r="H1378" s="72"/>
      <c r="I1378" s="71"/>
      <c r="L1378" s="55" t="str">
        <f t="shared" ca="1" si="43"/>
        <v>NE</v>
      </c>
    </row>
    <row r="1379" spans="1:12" ht="27" thickBot="1">
      <c r="A1379" s="72"/>
      <c r="B1379" s="74"/>
      <c r="C1379" s="71"/>
      <c r="D1379" s="71"/>
      <c r="E1379" s="72"/>
      <c r="F1379" s="70"/>
      <c r="G1379" s="72" t="str">
        <f t="shared" ca="1" si="42"/>
        <v/>
      </c>
      <c r="H1379" s="72"/>
      <c r="I1379" s="71"/>
      <c r="L1379" s="55" t="str">
        <f t="shared" ca="1" si="43"/>
        <v>NE</v>
      </c>
    </row>
    <row r="1380" spans="1:12" ht="27" thickBot="1">
      <c r="A1380" s="72"/>
      <c r="B1380" s="74"/>
      <c r="C1380" s="71"/>
      <c r="D1380" s="71"/>
      <c r="E1380" s="72"/>
      <c r="F1380" s="70"/>
      <c r="G1380" s="72" t="str">
        <f t="shared" ca="1" si="42"/>
        <v/>
      </c>
      <c r="H1380" s="72"/>
      <c r="I1380" s="71"/>
      <c r="L1380" s="55" t="str">
        <f t="shared" ca="1" si="43"/>
        <v>NE</v>
      </c>
    </row>
    <row r="1381" spans="1:12" ht="27" thickBot="1">
      <c r="A1381" s="72"/>
      <c r="B1381" s="74"/>
      <c r="C1381" s="71"/>
      <c r="D1381" s="71"/>
      <c r="E1381" s="72"/>
      <c r="F1381" s="70"/>
      <c r="G1381" s="72" t="str">
        <f t="shared" ca="1" si="42"/>
        <v/>
      </c>
      <c r="H1381" s="72"/>
      <c r="I1381" s="71"/>
      <c r="L1381" s="55" t="str">
        <f t="shared" ca="1" si="43"/>
        <v>NE</v>
      </c>
    </row>
    <row r="1382" spans="1:12" ht="27" thickBot="1">
      <c r="A1382" s="72"/>
      <c r="B1382" s="74"/>
      <c r="C1382" s="71"/>
      <c r="D1382" s="71"/>
      <c r="E1382" s="72"/>
      <c r="F1382" s="70"/>
      <c r="G1382" s="72" t="str">
        <f t="shared" ca="1" si="42"/>
        <v/>
      </c>
      <c r="H1382" s="72"/>
      <c r="I1382" s="71"/>
      <c r="L1382" s="55" t="str">
        <f t="shared" ca="1" si="43"/>
        <v>NE</v>
      </c>
    </row>
    <row r="1383" spans="1:12" ht="27" thickBot="1">
      <c r="A1383" s="72"/>
      <c r="B1383" s="74"/>
      <c r="C1383" s="71"/>
      <c r="D1383" s="71"/>
      <c r="E1383" s="72"/>
      <c r="F1383" s="70"/>
      <c r="G1383" s="72" t="str">
        <f t="shared" ca="1" si="42"/>
        <v/>
      </c>
      <c r="H1383" s="72"/>
      <c r="I1383" s="71"/>
      <c r="L1383" s="55" t="str">
        <f t="shared" ca="1" si="43"/>
        <v>NE</v>
      </c>
    </row>
    <row r="1384" spans="1:12" ht="27" thickBot="1">
      <c r="A1384" s="72"/>
      <c r="B1384" s="74"/>
      <c r="C1384" s="71"/>
      <c r="D1384" s="71"/>
      <c r="E1384" s="72"/>
      <c r="F1384" s="70"/>
      <c r="G1384" s="72" t="str">
        <f t="shared" ca="1" si="42"/>
        <v/>
      </c>
      <c r="H1384" s="72"/>
      <c r="I1384" s="71"/>
      <c r="L1384" s="55" t="str">
        <f t="shared" ca="1" si="43"/>
        <v>NE</v>
      </c>
    </row>
    <row r="1385" spans="1:12" ht="27" thickBot="1">
      <c r="A1385" s="72"/>
      <c r="B1385" s="74"/>
      <c r="C1385" s="71"/>
      <c r="D1385" s="71"/>
      <c r="E1385" s="72"/>
      <c r="F1385" s="70"/>
      <c r="G1385" s="72" t="str">
        <f t="shared" ca="1" si="42"/>
        <v/>
      </c>
      <c r="H1385" s="72"/>
      <c r="I1385" s="71"/>
      <c r="L1385" s="55" t="str">
        <f t="shared" ca="1" si="43"/>
        <v>NE</v>
      </c>
    </row>
    <row r="1386" spans="1:12" ht="27" thickBot="1">
      <c r="A1386" s="72"/>
      <c r="B1386" s="74"/>
      <c r="C1386" s="71"/>
      <c r="D1386" s="71"/>
      <c r="E1386" s="72"/>
      <c r="F1386" s="70"/>
      <c r="G1386" s="72" t="str">
        <f t="shared" ca="1" si="42"/>
        <v/>
      </c>
      <c r="H1386" s="72"/>
      <c r="I1386" s="71"/>
      <c r="L1386" s="55" t="str">
        <f t="shared" ca="1" si="43"/>
        <v>NE</v>
      </c>
    </row>
    <row r="1387" spans="1:12" ht="27" thickBot="1">
      <c r="A1387" s="72"/>
      <c r="B1387" s="74"/>
      <c r="C1387" s="71"/>
      <c r="D1387" s="71"/>
      <c r="E1387" s="72"/>
      <c r="F1387" s="70"/>
      <c r="G1387" s="72" t="str">
        <f t="shared" ca="1" si="42"/>
        <v/>
      </c>
      <c r="H1387" s="72"/>
      <c r="I1387" s="71"/>
      <c r="L1387" s="55" t="str">
        <f t="shared" ca="1" si="43"/>
        <v>NE</v>
      </c>
    </row>
    <row r="1388" spans="1:12" ht="27" thickBot="1">
      <c r="A1388" s="72"/>
      <c r="B1388" s="74"/>
      <c r="C1388" s="71"/>
      <c r="D1388" s="71"/>
      <c r="E1388" s="72"/>
      <c r="F1388" s="70"/>
      <c r="G1388" s="72" t="str">
        <f t="shared" ca="1" si="42"/>
        <v/>
      </c>
      <c r="H1388" s="72"/>
      <c r="I1388" s="71"/>
      <c r="L1388" s="55" t="str">
        <f t="shared" ca="1" si="43"/>
        <v>NE</v>
      </c>
    </row>
    <row r="1389" spans="1:12" ht="27" thickBot="1">
      <c r="A1389" s="72"/>
      <c r="B1389" s="74"/>
      <c r="C1389" s="71"/>
      <c r="D1389" s="71"/>
      <c r="E1389" s="72"/>
      <c r="F1389" s="70"/>
      <c r="G1389" s="72" t="str">
        <f t="shared" ca="1" si="42"/>
        <v/>
      </c>
      <c r="H1389" s="72"/>
      <c r="I1389" s="71"/>
      <c r="L1389" s="55" t="str">
        <f t="shared" ca="1" si="43"/>
        <v>NE</v>
      </c>
    </row>
    <row r="1390" spans="1:12" ht="27" thickBot="1">
      <c r="A1390" s="72"/>
      <c r="B1390" s="74"/>
      <c r="C1390" s="71"/>
      <c r="D1390" s="71"/>
      <c r="E1390" s="72"/>
      <c r="F1390" s="70"/>
      <c r="G1390" s="72" t="str">
        <f t="shared" ref="G1390:G1453" ca="1" si="44">IF(ISBLANK(F1390),"",IF(F1390&gt;=TODAY(), "Non Echue", "Echue"))</f>
        <v/>
      </c>
      <c r="H1390" s="72"/>
      <c r="I1390" s="71"/>
      <c r="L1390" s="55" t="str">
        <f t="shared" ref="L1390:L1453" ca="1" si="45" xml:space="preserve"> IF(G1390 = "Echue",IF(H1390 = "Appliqué","EAP","NAP"),"NE")</f>
        <v>NE</v>
      </c>
    </row>
    <row r="1391" spans="1:12" ht="27" thickBot="1">
      <c r="A1391" s="72"/>
      <c r="B1391" s="74"/>
      <c r="C1391" s="71"/>
      <c r="D1391" s="71"/>
      <c r="E1391" s="72"/>
      <c r="F1391" s="70"/>
      <c r="G1391" s="72" t="str">
        <f t="shared" ca="1" si="44"/>
        <v/>
      </c>
      <c r="H1391" s="72"/>
      <c r="I1391" s="71"/>
      <c r="L1391" s="55" t="str">
        <f t="shared" ca="1" si="45"/>
        <v>NE</v>
      </c>
    </row>
    <row r="1392" spans="1:12" ht="27" thickBot="1">
      <c r="A1392" s="72"/>
      <c r="B1392" s="74"/>
      <c r="C1392" s="71"/>
      <c r="D1392" s="71"/>
      <c r="E1392" s="72"/>
      <c r="F1392" s="70"/>
      <c r="G1392" s="72" t="str">
        <f t="shared" ca="1" si="44"/>
        <v/>
      </c>
      <c r="H1392" s="72"/>
      <c r="I1392" s="71"/>
      <c r="L1392" s="55" t="str">
        <f t="shared" ca="1" si="45"/>
        <v>NE</v>
      </c>
    </row>
    <row r="1393" spans="1:12" ht="27" thickBot="1">
      <c r="A1393" s="72"/>
      <c r="B1393" s="74"/>
      <c r="C1393" s="71"/>
      <c r="D1393" s="71"/>
      <c r="E1393" s="72"/>
      <c r="F1393" s="70"/>
      <c r="G1393" s="72" t="str">
        <f t="shared" ca="1" si="44"/>
        <v/>
      </c>
      <c r="H1393" s="72"/>
      <c r="I1393" s="71"/>
      <c r="L1393" s="55" t="str">
        <f t="shared" ca="1" si="45"/>
        <v>NE</v>
      </c>
    </row>
    <row r="1394" spans="1:12" ht="27" thickBot="1">
      <c r="A1394" s="72"/>
      <c r="B1394" s="74"/>
      <c r="C1394" s="71"/>
      <c r="D1394" s="71"/>
      <c r="E1394" s="72"/>
      <c r="F1394" s="70"/>
      <c r="G1394" s="72" t="str">
        <f t="shared" ca="1" si="44"/>
        <v/>
      </c>
      <c r="H1394" s="72"/>
      <c r="I1394" s="71"/>
      <c r="L1394" s="55" t="str">
        <f t="shared" ca="1" si="45"/>
        <v>NE</v>
      </c>
    </row>
    <row r="1395" spans="1:12" ht="27" thickBot="1">
      <c r="A1395" s="72"/>
      <c r="B1395" s="74"/>
      <c r="C1395" s="71"/>
      <c r="D1395" s="71"/>
      <c r="E1395" s="72"/>
      <c r="F1395" s="70"/>
      <c r="G1395" s="72" t="str">
        <f t="shared" ca="1" si="44"/>
        <v/>
      </c>
      <c r="H1395" s="72"/>
      <c r="I1395" s="71"/>
      <c r="L1395" s="55" t="str">
        <f t="shared" ca="1" si="45"/>
        <v>NE</v>
      </c>
    </row>
    <row r="1396" spans="1:12" ht="27" thickBot="1">
      <c r="A1396" s="72"/>
      <c r="B1396" s="74"/>
      <c r="C1396" s="71"/>
      <c r="D1396" s="71"/>
      <c r="E1396" s="72"/>
      <c r="F1396" s="70"/>
      <c r="G1396" s="72" t="str">
        <f t="shared" ca="1" si="44"/>
        <v/>
      </c>
      <c r="H1396" s="72"/>
      <c r="I1396" s="71"/>
      <c r="L1396" s="55" t="str">
        <f t="shared" ca="1" si="45"/>
        <v>NE</v>
      </c>
    </row>
    <row r="1397" spans="1:12" ht="27" thickBot="1">
      <c r="A1397" s="72"/>
      <c r="B1397" s="74"/>
      <c r="C1397" s="71"/>
      <c r="D1397" s="71"/>
      <c r="E1397" s="72"/>
      <c r="F1397" s="70"/>
      <c r="G1397" s="72" t="str">
        <f t="shared" ca="1" si="44"/>
        <v/>
      </c>
      <c r="H1397" s="72"/>
      <c r="I1397" s="71"/>
      <c r="L1397" s="55" t="str">
        <f t="shared" ca="1" si="45"/>
        <v>NE</v>
      </c>
    </row>
    <row r="1398" spans="1:12" ht="27" thickBot="1">
      <c r="A1398" s="72"/>
      <c r="B1398" s="74"/>
      <c r="C1398" s="71"/>
      <c r="D1398" s="71"/>
      <c r="E1398" s="72"/>
      <c r="F1398" s="70"/>
      <c r="G1398" s="72" t="str">
        <f t="shared" ca="1" si="44"/>
        <v/>
      </c>
      <c r="H1398" s="72"/>
      <c r="I1398" s="71"/>
      <c r="L1398" s="55" t="str">
        <f t="shared" ca="1" si="45"/>
        <v>NE</v>
      </c>
    </row>
    <row r="1399" spans="1:12" ht="27" thickBot="1">
      <c r="A1399" s="72"/>
      <c r="B1399" s="74"/>
      <c r="C1399" s="71"/>
      <c r="D1399" s="71"/>
      <c r="E1399" s="72"/>
      <c r="F1399" s="70"/>
      <c r="G1399" s="72" t="str">
        <f t="shared" ca="1" si="44"/>
        <v/>
      </c>
      <c r="H1399" s="72"/>
      <c r="I1399" s="71"/>
      <c r="L1399" s="55" t="str">
        <f t="shared" ca="1" si="45"/>
        <v>NE</v>
      </c>
    </row>
    <row r="1400" spans="1:12" ht="27" thickBot="1">
      <c r="A1400" s="72"/>
      <c r="B1400" s="74"/>
      <c r="C1400" s="71"/>
      <c r="D1400" s="71"/>
      <c r="E1400" s="72"/>
      <c r="F1400" s="70"/>
      <c r="G1400" s="72" t="str">
        <f t="shared" ca="1" si="44"/>
        <v/>
      </c>
      <c r="H1400" s="72"/>
      <c r="I1400" s="71"/>
      <c r="L1400" s="55" t="str">
        <f t="shared" ca="1" si="45"/>
        <v>NE</v>
      </c>
    </row>
    <row r="1401" spans="1:12" ht="27" thickBot="1">
      <c r="A1401" s="72"/>
      <c r="B1401" s="74"/>
      <c r="C1401" s="71"/>
      <c r="D1401" s="71"/>
      <c r="E1401" s="72"/>
      <c r="F1401" s="70"/>
      <c r="G1401" s="72" t="str">
        <f t="shared" ca="1" si="44"/>
        <v/>
      </c>
      <c r="H1401" s="72"/>
      <c r="I1401" s="71"/>
      <c r="L1401" s="55" t="str">
        <f t="shared" ca="1" si="45"/>
        <v>NE</v>
      </c>
    </row>
    <row r="1402" spans="1:12" ht="27" thickBot="1">
      <c r="A1402" s="72"/>
      <c r="B1402" s="74"/>
      <c r="C1402" s="71"/>
      <c r="D1402" s="71"/>
      <c r="E1402" s="72"/>
      <c r="F1402" s="70"/>
      <c r="G1402" s="72" t="str">
        <f t="shared" ca="1" si="44"/>
        <v/>
      </c>
      <c r="H1402" s="72"/>
      <c r="I1402" s="71"/>
      <c r="L1402" s="55" t="str">
        <f t="shared" ca="1" si="45"/>
        <v>NE</v>
      </c>
    </row>
    <row r="1403" spans="1:12" ht="27" thickBot="1">
      <c r="A1403" s="72"/>
      <c r="B1403" s="74"/>
      <c r="C1403" s="71"/>
      <c r="D1403" s="71"/>
      <c r="E1403" s="72"/>
      <c r="F1403" s="70"/>
      <c r="G1403" s="72" t="str">
        <f t="shared" ca="1" si="44"/>
        <v/>
      </c>
      <c r="H1403" s="72"/>
      <c r="I1403" s="71"/>
      <c r="L1403" s="55" t="str">
        <f t="shared" ca="1" si="45"/>
        <v>NE</v>
      </c>
    </row>
    <row r="1404" spans="1:12" ht="27" thickBot="1">
      <c r="A1404" s="72"/>
      <c r="B1404" s="74"/>
      <c r="C1404" s="71"/>
      <c r="D1404" s="71"/>
      <c r="E1404" s="72"/>
      <c r="F1404" s="70"/>
      <c r="G1404" s="72" t="str">
        <f t="shared" ca="1" si="44"/>
        <v/>
      </c>
      <c r="H1404" s="72"/>
      <c r="I1404" s="71"/>
      <c r="L1404" s="55" t="str">
        <f t="shared" ca="1" si="45"/>
        <v>NE</v>
      </c>
    </row>
    <row r="1405" spans="1:12" ht="27" thickBot="1">
      <c r="A1405" s="72"/>
      <c r="B1405" s="74"/>
      <c r="C1405" s="71"/>
      <c r="D1405" s="71"/>
      <c r="E1405" s="72"/>
      <c r="F1405" s="70"/>
      <c r="G1405" s="72" t="str">
        <f t="shared" ca="1" si="44"/>
        <v/>
      </c>
      <c r="H1405" s="72"/>
      <c r="I1405" s="71"/>
      <c r="L1405" s="55" t="str">
        <f t="shared" ca="1" si="45"/>
        <v>NE</v>
      </c>
    </row>
    <row r="1406" spans="1:12" ht="27" thickBot="1">
      <c r="A1406" s="72"/>
      <c r="B1406" s="74"/>
      <c r="C1406" s="71"/>
      <c r="D1406" s="71"/>
      <c r="E1406" s="72"/>
      <c r="F1406" s="70"/>
      <c r="G1406" s="72" t="str">
        <f t="shared" ca="1" si="44"/>
        <v/>
      </c>
      <c r="H1406" s="72"/>
      <c r="I1406" s="71"/>
      <c r="L1406" s="55" t="str">
        <f t="shared" ca="1" si="45"/>
        <v>NE</v>
      </c>
    </row>
    <row r="1407" spans="1:12" ht="27" thickBot="1">
      <c r="A1407" s="72"/>
      <c r="B1407" s="74"/>
      <c r="C1407" s="71"/>
      <c r="D1407" s="71"/>
      <c r="E1407" s="72"/>
      <c r="F1407" s="70"/>
      <c r="G1407" s="72" t="str">
        <f t="shared" ca="1" si="44"/>
        <v/>
      </c>
      <c r="H1407" s="72"/>
      <c r="I1407" s="71"/>
      <c r="L1407" s="55" t="str">
        <f t="shared" ca="1" si="45"/>
        <v>NE</v>
      </c>
    </row>
    <row r="1408" spans="1:12" ht="27" thickBot="1">
      <c r="A1408" s="72"/>
      <c r="B1408" s="74"/>
      <c r="C1408" s="71"/>
      <c r="D1408" s="71"/>
      <c r="E1408" s="72"/>
      <c r="F1408" s="70"/>
      <c r="G1408" s="72" t="str">
        <f t="shared" ca="1" si="44"/>
        <v/>
      </c>
      <c r="H1408" s="72"/>
      <c r="I1408" s="71"/>
      <c r="L1408" s="55" t="str">
        <f t="shared" ca="1" si="45"/>
        <v>NE</v>
      </c>
    </row>
    <row r="1409" spans="1:12" ht="27" thickBot="1">
      <c r="A1409" s="72"/>
      <c r="B1409" s="74"/>
      <c r="C1409" s="71"/>
      <c r="D1409" s="71"/>
      <c r="E1409" s="72"/>
      <c r="F1409" s="70"/>
      <c r="G1409" s="72" t="str">
        <f t="shared" ca="1" si="44"/>
        <v/>
      </c>
      <c r="H1409" s="72"/>
      <c r="I1409" s="71"/>
      <c r="L1409" s="55" t="str">
        <f t="shared" ca="1" si="45"/>
        <v>NE</v>
      </c>
    </row>
    <row r="1410" spans="1:12" ht="27" thickBot="1">
      <c r="A1410" s="72"/>
      <c r="B1410" s="74"/>
      <c r="C1410" s="71"/>
      <c r="D1410" s="71"/>
      <c r="E1410" s="72"/>
      <c r="F1410" s="70"/>
      <c r="G1410" s="72" t="str">
        <f t="shared" ca="1" si="44"/>
        <v/>
      </c>
      <c r="H1410" s="72"/>
      <c r="I1410" s="71"/>
      <c r="L1410" s="55" t="str">
        <f t="shared" ca="1" si="45"/>
        <v>NE</v>
      </c>
    </row>
    <row r="1411" spans="1:12" ht="27" thickBot="1">
      <c r="A1411" s="72"/>
      <c r="B1411" s="74"/>
      <c r="C1411" s="71"/>
      <c r="D1411" s="71"/>
      <c r="E1411" s="72"/>
      <c r="F1411" s="70"/>
      <c r="G1411" s="72" t="str">
        <f t="shared" ca="1" si="44"/>
        <v/>
      </c>
      <c r="H1411" s="72"/>
      <c r="I1411" s="71"/>
      <c r="L1411" s="55" t="str">
        <f t="shared" ca="1" si="45"/>
        <v>NE</v>
      </c>
    </row>
    <row r="1412" spans="1:12" ht="27" thickBot="1">
      <c r="A1412" s="72"/>
      <c r="B1412" s="74"/>
      <c r="C1412" s="71"/>
      <c r="D1412" s="71"/>
      <c r="E1412" s="72"/>
      <c r="F1412" s="70"/>
      <c r="G1412" s="72" t="str">
        <f t="shared" ca="1" si="44"/>
        <v/>
      </c>
      <c r="H1412" s="72"/>
      <c r="I1412" s="71"/>
      <c r="L1412" s="55" t="str">
        <f t="shared" ca="1" si="45"/>
        <v>NE</v>
      </c>
    </row>
    <row r="1413" spans="1:12" ht="27" thickBot="1">
      <c r="A1413" s="72"/>
      <c r="B1413" s="74"/>
      <c r="C1413" s="71"/>
      <c r="D1413" s="71"/>
      <c r="E1413" s="72"/>
      <c r="F1413" s="70"/>
      <c r="G1413" s="72" t="str">
        <f t="shared" ca="1" si="44"/>
        <v/>
      </c>
      <c r="H1413" s="72"/>
      <c r="I1413" s="71"/>
      <c r="L1413" s="55" t="str">
        <f t="shared" ca="1" si="45"/>
        <v>NE</v>
      </c>
    </row>
    <row r="1414" spans="1:12" ht="27" thickBot="1">
      <c r="A1414" s="72"/>
      <c r="B1414" s="74"/>
      <c r="C1414" s="71"/>
      <c r="D1414" s="71"/>
      <c r="E1414" s="72"/>
      <c r="F1414" s="70"/>
      <c r="G1414" s="72" t="str">
        <f t="shared" ca="1" si="44"/>
        <v/>
      </c>
      <c r="H1414" s="72"/>
      <c r="I1414" s="71"/>
      <c r="L1414" s="55" t="str">
        <f t="shared" ca="1" si="45"/>
        <v>NE</v>
      </c>
    </row>
    <row r="1415" spans="1:12" ht="27" thickBot="1">
      <c r="A1415" s="72"/>
      <c r="B1415" s="74"/>
      <c r="C1415" s="71"/>
      <c r="D1415" s="71"/>
      <c r="E1415" s="72"/>
      <c r="F1415" s="70"/>
      <c r="G1415" s="72" t="str">
        <f t="shared" ca="1" si="44"/>
        <v/>
      </c>
      <c r="H1415" s="72"/>
      <c r="I1415" s="71"/>
      <c r="L1415" s="55" t="str">
        <f t="shared" ca="1" si="45"/>
        <v>NE</v>
      </c>
    </row>
    <row r="1416" spans="1:12" ht="27" thickBot="1">
      <c r="A1416" s="72"/>
      <c r="B1416" s="74"/>
      <c r="C1416" s="71"/>
      <c r="D1416" s="71"/>
      <c r="E1416" s="72"/>
      <c r="F1416" s="70"/>
      <c r="G1416" s="72" t="str">
        <f t="shared" ca="1" si="44"/>
        <v/>
      </c>
      <c r="H1416" s="72"/>
      <c r="I1416" s="71"/>
      <c r="L1416" s="55" t="str">
        <f t="shared" ca="1" si="45"/>
        <v>NE</v>
      </c>
    </row>
    <row r="1417" spans="1:12" ht="27" thickBot="1">
      <c r="A1417" s="72"/>
      <c r="B1417" s="74"/>
      <c r="C1417" s="71"/>
      <c r="D1417" s="71"/>
      <c r="E1417" s="72"/>
      <c r="F1417" s="70"/>
      <c r="G1417" s="72" t="str">
        <f t="shared" ca="1" si="44"/>
        <v/>
      </c>
      <c r="H1417" s="72"/>
      <c r="I1417" s="71"/>
      <c r="L1417" s="55" t="str">
        <f t="shared" ca="1" si="45"/>
        <v>NE</v>
      </c>
    </row>
    <row r="1418" spans="1:12" ht="27" thickBot="1">
      <c r="A1418" s="72"/>
      <c r="B1418" s="74"/>
      <c r="C1418" s="71"/>
      <c r="D1418" s="71"/>
      <c r="E1418" s="72"/>
      <c r="F1418" s="70"/>
      <c r="G1418" s="72" t="str">
        <f t="shared" ca="1" si="44"/>
        <v/>
      </c>
      <c r="H1418" s="72"/>
      <c r="I1418" s="71"/>
      <c r="L1418" s="55" t="str">
        <f t="shared" ca="1" si="45"/>
        <v>NE</v>
      </c>
    </row>
    <row r="1419" spans="1:12" ht="27" thickBot="1">
      <c r="A1419" s="72"/>
      <c r="B1419" s="74"/>
      <c r="C1419" s="71"/>
      <c r="D1419" s="71"/>
      <c r="E1419" s="72"/>
      <c r="F1419" s="70"/>
      <c r="G1419" s="72" t="str">
        <f t="shared" ca="1" si="44"/>
        <v/>
      </c>
      <c r="H1419" s="72"/>
      <c r="I1419" s="71"/>
      <c r="L1419" s="55" t="str">
        <f t="shared" ca="1" si="45"/>
        <v>NE</v>
      </c>
    </row>
    <row r="1420" spans="1:12" ht="27" thickBot="1">
      <c r="A1420" s="72"/>
      <c r="B1420" s="74"/>
      <c r="C1420" s="71"/>
      <c r="D1420" s="71"/>
      <c r="E1420" s="72"/>
      <c r="F1420" s="70"/>
      <c r="G1420" s="72" t="str">
        <f t="shared" ca="1" si="44"/>
        <v/>
      </c>
      <c r="H1420" s="72"/>
      <c r="I1420" s="71"/>
      <c r="L1420" s="55" t="str">
        <f t="shared" ca="1" si="45"/>
        <v>NE</v>
      </c>
    </row>
    <row r="1421" spans="1:12" ht="27" thickBot="1">
      <c r="A1421" s="72"/>
      <c r="B1421" s="74"/>
      <c r="C1421" s="71"/>
      <c r="D1421" s="71"/>
      <c r="E1421" s="72"/>
      <c r="F1421" s="70"/>
      <c r="G1421" s="72" t="str">
        <f t="shared" ca="1" si="44"/>
        <v/>
      </c>
      <c r="H1421" s="72"/>
      <c r="I1421" s="71"/>
      <c r="L1421" s="55" t="str">
        <f t="shared" ca="1" si="45"/>
        <v>NE</v>
      </c>
    </row>
    <row r="1422" spans="1:12" ht="27" thickBot="1">
      <c r="A1422" s="72"/>
      <c r="B1422" s="74"/>
      <c r="C1422" s="71"/>
      <c r="D1422" s="71"/>
      <c r="E1422" s="72"/>
      <c r="F1422" s="70"/>
      <c r="G1422" s="72" t="str">
        <f t="shared" ca="1" si="44"/>
        <v/>
      </c>
      <c r="H1422" s="72"/>
      <c r="I1422" s="71"/>
      <c r="L1422" s="55" t="str">
        <f t="shared" ca="1" si="45"/>
        <v>NE</v>
      </c>
    </row>
    <row r="1423" spans="1:12" ht="27" thickBot="1">
      <c r="A1423" s="72"/>
      <c r="B1423" s="74"/>
      <c r="C1423" s="71"/>
      <c r="D1423" s="71"/>
      <c r="E1423" s="72"/>
      <c r="F1423" s="70"/>
      <c r="G1423" s="72" t="str">
        <f t="shared" ca="1" si="44"/>
        <v/>
      </c>
      <c r="H1423" s="72"/>
      <c r="I1423" s="71"/>
      <c r="L1423" s="55" t="str">
        <f t="shared" ca="1" si="45"/>
        <v>NE</v>
      </c>
    </row>
    <row r="1424" spans="1:12" ht="27" thickBot="1">
      <c r="A1424" s="72"/>
      <c r="B1424" s="74"/>
      <c r="C1424" s="71"/>
      <c r="D1424" s="71"/>
      <c r="E1424" s="72"/>
      <c r="F1424" s="70"/>
      <c r="G1424" s="72" t="str">
        <f t="shared" ca="1" si="44"/>
        <v/>
      </c>
      <c r="H1424" s="72"/>
      <c r="I1424" s="71"/>
      <c r="L1424" s="55" t="str">
        <f t="shared" ca="1" si="45"/>
        <v>NE</v>
      </c>
    </row>
    <row r="1425" spans="1:12" ht="27" thickBot="1">
      <c r="A1425" s="72"/>
      <c r="B1425" s="74"/>
      <c r="C1425" s="71"/>
      <c r="D1425" s="71"/>
      <c r="E1425" s="72"/>
      <c r="F1425" s="70"/>
      <c r="G1425" s="72" t="str">
        <f t="shared" ca="1" si="44"/>
        <v/>
      </c>
      <c r="H1425" s="72"/>
      <c r="I1425" s="71"/>
      <c r="L1425" s="55" t="str">
        <f t="shared" ca="1" si="45"/>
        <v>NE</v>
      </c>
    </row>
    <row r="1426" spans="1:12" ht="27" thickBot="1">
      <c r="A1426" s="72"/>
      <c r="B1426" s="74"/>
      <c r="C1426" s="71"/>
      <c r="D1426" s="71"/>
      <c r="E1426" s="72"/>
      <c r="F1426" s="70"/>
      <c r="G1426" s="72" t="str">
        <f t="shared" ca="1" si="44"/>
        <v/>
      </c>
      <c r="H1426" s="72"/>
      <c r="I1426" s="71"/>
      <c r="L1426" s="55" t="str">
        <f t="shared" ca="1" si="45"/>
        <v>NE</v>
      </c>
    </row>
    <row r="1427" spans="1:12" ht="27" thickBot="1">
      <c r="A1427" s="72"/>
      <c r="B1427" s="74"/>
      <c r="C1427" s="71"/>
      <c r="D1427" s="71"/>
      <c r="E1427" s="72"/>
      <c r="F1427" s="70"/>
      <c r="G1427" s="72" t="str">
        <f t="shared" ca="1" si="44"/>
        <v/>
      </c>
      <c r="H1427" s="72"/>
      <c r="I1427" s="71"/>
      <c r="L1427" s="55" t="str">
        <f t="shared" ca="1" si="45"/>
        <v>NE</v>
      </c>
    </row>
    <row r="1428" spans="1:12" ht="27" thickBot="1">
      <c r="A1428" s="72"/>
      <c r="B1428" s="74"/>
      <c r="C1428" s="71"/>
      <c r="D1428" s="71"/>
      <c r="E1428" s="72"/>
      <c r="F1428" s="70"/>
      <c r="G1428" s="72" t="str">
        <f t="shared" ca="1" si="44"/>
        <v/>
      </c>
      <c r="H1428" s="72"/>
      <c r="I1428" s="71"/>
      <c r="L1428" s="55" t="str">
        <f t="shared" ca="1" si="45"/>
        <v>NE</v>
      </c>
    </row>
    <row r="1429" spans="1:12" ht="27" thickBot="1">
      <c r="A1429" s="72"/>
      <c r="B1429" s="74"/>
      <c r="C1429" s="71"/>
      <c r="D1429" s="71"/>
      <c r="E1429" s="72"/>
      <c r="F1429" s="70"/>
      <c r="G1429" s="72" t="str">
        <f t="shared" ca="1" si="44"/>
        <v/>
      </c>
      <c r="H1429" s="72"/>
      <c r="I1429" s="71"/>
      <c r="L1429" s="55" t="str">
        <f t="shared" ca="1" si="45"/>
        <v>NE</v>
      </c>
    </row>
    <row r="1430" spans="1:12" ht="27" thickBot="1">
      <c r="A1430" s="72"/>
      <c r="B1430" s="74"/>
      <c r="C1430" s="71"/>
      <c r="D1430" s="71"/>
      <c r="E1430" s="72"/>
      <c r="F1430" s="70"/>
      <c r="G1430" s="72" t="str">
        <f t="shared" ca="1" si="44"/>
        <v/>
      </c>
      <c r="H1430" s="72"/>
      <c r="I1430" s="71"/>
      <c r="L1430" s="55" t="str">
        <f t="shared" ca="1" si="45"/>
        <v>NE</v>
      </c>
    </row>
    <row r="1431" spans="1:12" ht="27" thickBot="1">
      <c r="A1431" s="72"/>
      <c r="B1431" s="74"/>
      <c r="C1431" s="71"/>
      <c r="D1431" s="71"/>
      <c r="E1431" s="72"/>
      <c r="F1431" s="70"/>
      <c r="G1431" s="72" t="str">
        <f t="shared" ca="1" si="44"/>
        <v/>
      </c>
      <c r="H1431" s="72"/>
      <c r="I1431" s="71"/>
      <c r="L1431" s="55" t="str">
        <f t="shared" ca="1" si="45"/>
        <v>NE</v>
      </c>
    </row>
    <row r="1432" spans="1:12" ht="27" thickBot="1">
      <c r="A1432" s="72"/>
      <c r="B1432" s="74"/>
      <c r="C1432" s="71"/>
      <c r="D1432" s="71"/>
      <c r="E1432" s="72"/>
      <c r="F1432" s="70"/>
      <c r="G1432" s="72" t="str">
        <f t="shared" ca="1" si="44"/>
        <v/>
      </c>
      <c r="H1432" s="72"/>
      <c r="I1432" s="71"/>
      <c r="L1432" s="55" t="str">
        <f t="shared" ca="1" si="45"/>
        <v>NE</v>
      </c>
    </row>
    <row r="1433" spans="1:12" ht="27" thickBot="1">
      <c r="A1433" s="72"/>
      <c r="B1433" s="74"/>
      <c r="C1433" s="71"/>
      <c r="D1433" s="71"/>
      <c r="E1433" s="72"/>
      <c r="F1433" s="70"/>
      <c r="G1433" s="72" t="str">
        <f t="shared" ca="1" si="44"/>
        <v/>
      </c>
      <c r="H1433" s="72"/>
      <c r="I1433" s="71"/>
      <c r="L1433" s="55" t="str">
        <f t="shared" ca="1" si="45"/>
        <v>NE</v>
      </c>
    </row>
    <row r="1434" spans="1:12" ht="27" thickBot="1">
      <c r="A1434" s="72"/>
      <c r="B1434" s="74"/>
      <c r="C1434" s="71"/>
      <c r="D1434" s="71"/>
      <c r="E1434" s="72"/>
      <c r="F1434" s="70"/>
      <c r="G1434" s="72" t="str">
        <f t="shared" ca="1" si="44"/>
        <v/>
      </c>
      <c r="H1434" s="72"/>
      <c r="I1434" s="71"/>
      <c r="L1434" s="55" t="str">
        <f t="shared" ca="1" si="45"/>
        <v>NE</v>
      </c>
    </row>
    <row r="1435" spans="1:12" ht="27" thickBot="1">
      <c r="A1435" s="72"/>
      <c r="B1435" s="74"/>
      <c r="C1435" s="71"/>
      <c r="D1435" s="71"/>
      <c r="E1435" s="72"/>
      <c r="F1435" s="70"/>
      <c r="G1435" s="72" t="str">
        <f t="shared" ca="1" si="44"/>
        <v/>
      </c>
      <c r="H1435" s="72"/>
      <c r="I1435" s="71"/>
      <c r="L1435" s="55" t="str">
        <f t="shared" ca="1" si="45"/>
        <v>NE</v>
      </c>
    </row>
    <row r="1436" spans="1:12" ht="27" thickBot="1">
      <c r="A1436" s="72"/>
      <c r="B1436" s="74"/>
      <c r="C1436" s="71"/>
      <c r="D1436" s="71"/>
      <c r="E1436" s="72"/>
      <c r="F1436" s="70"/>
      <c r="G1436" s="72" t="str">
        <f t="shared" ca="1" si="44"/>
        <v/>
      </c>
      <c r="H1436" s="72"/>
      <c r="I1436" s="71"/>
      <c r="L1436" s="55" t="str">
        <f t="shared" ca="1" si="45"/>
        <v>NE</v>
      </c>
    </row>
    <row r="1437" spans="1:12" ht="27" thickBot="1">
      <c r="A1437" s="72"/>
      <c r="B1437" s="74"/>
      <c r="C1437" s="71"/>
      <c r="D1437" s="71"/>
      <c r="E1437" s="72"/>
      <c r="F1437" s="70"/>
      <c r="G1437" s="72" t="str">
        <f t="shared" ca="1" si="44"/>
        <v/>
      </c>
      <c r="H1437" s="72"/>
      <c r="I1437" s="71"/>
      <c r="L1437" s="55" t="str">
        <f t="shared" ca="1" si="45"/>
        <v>NE</v>
      </c>
    </row>
    <row r="1438" spans="1:12" ht="27" thickBot="1">
      <c r="A1438" s="72"/>
      <c r="B1438" s="74"/>
      <c r="C1438" s="71"/>
      <c r="D1438" s="71"/>
      <c r="E1438" s="72"/>
      <c r="F1438" s="70"/>
      <c r="G1438" s="72" t="str">
        <f t="shared" ca="1" si="44"/>
        <v/>
      </c>
      <c r="H1438" s="72"/>
      <c r="I1438" s="71"/>
      <c r="L1438" s="55" t="str">
        <f t="shared" ca="1" si="45"/>
        <v>NE</v>
      </c>
    </row>
    <row r="1439" spans="1:12" ht="27" thickBot="1">
      <c r="A1439" s="72"/>
      <c r="B1439" s="74"/>
      <c r="C1439" s="71"/>
      <c r="D1439" s="71"/>
      <c r="E1439" s="72"/>
      <c r="F1439" s="70"/>
      <c r="G1439" s="72" t="str">
        <f t="shared" ca="1" si="44"/>
        <v/>
      </c>
      <c r="H1439" s="72"/>
      <c r="I1439" s="71"/>
      <c r="L1439" s="55" t="str">
        <f t="shared" ca="1" si="45"/>
        <v>NE</v>
      </c>
    </row>
    <row r="1440" spans="1:12" ht="27" thickBot="1">
      <c r="A1440" s="72"/>
      <c r="B1440" s="74"/>
      <c r="C1440" s="71"/>
      <c r="D1440" s="71"/>
      <c r="E1440" s="72"/>
      <c r="F1440" s="70"/>
      <c r="G1440" s="72" t="str">
        <f t="shared" ca="1" si="44"/>
        <v/>
      </c>
      <c r="H1440" s="72"/>
      <c r="I1440" s="71"/>
      <c r="L1440" s="55" t="str">
        <f t="shared" ca="1" si="45"/>
        <v>NE</v>
      </c>
    </row>
    <row r="1441" spans="1:12" ht="27" thickBot="1">
      <c r="A1441" s="72"/>
      <c r="B1441" s="74"/>
      <c r="C1441" s="71"/>
      <c r="D1441" s="71"/>
      <c r="E1441" s="72"/>
      <c r="F1441" s="70"/>
      <c r="G1441" s="72" t="str">
        <f t="shared" ca="1" si="44"/>
        <v/>
      </c>
      <c r="H1441" s="72"/>
      <c r="I1441" s="71"/>
      <c r="L1441" s="55" t="str">
        <f t="shared" ca="1" si="45"/>
        <v>NE</v>
      </c>
    </row>
    <row r="1442" spans="1:12" ht="27" thickBot="1">
      <c r="A1442" s="72"/>
      <c r="B1442" s="74"/>
      <c r="C1442" s="71"/>
      <c r="D1442" s="71"/>
      <c r="E1442" s="72"/>
      <c r="F1442" s="70"/>
      <c r="G1442" s="72" t="str">
        <f t="shared" ca="1" si="44"/>
        <v/>
      </c>
      <c r="H1442" s="72"/>
      <c r="I1442" s="71"/>
      <c r="L1442" s="55" t="str">
        <f t="shared" ca="1" si="45"/>
        <v>NE</v>
      </c>
    </row>
    <row r="1443" spans="1:12" ht="27" thickBot="1">
      <c r="A1443" s="72"/>
      <c r="B1443" s="74"/>
      <c r="C1443" s="71"/>
      <c r="D1443" s="71"/>
      <c r="E1443" s="72"/>
      <c r="F1443" s="70"/>
      <c r="G1443" s="72" t="str">
        <f t="shared" ca="1" si="44"/>
        <v/>
      </c>
      <c r="H1443" s="72"/>
      <c r="I1443" s="71"/>
      <c r="L1443" s="55" t="str">
        <f t="shared" ca="1" si="45"/>
        <v>NE</v>
      </c>
    </row>
    <row r="1444" spans="1:12" ht="27" thickBot="1">
      <c r="A1444" s="72"/>
      <c r="B1444" s="74"/>
      <c r="C1444" s="71"/>
      <c r="D1444" s="71"/>
      <c r="E1444" s="72"/>
      <c r="F1444" s="70"/>
      <c r="G1444" s="72" t="str">
        <f t="shared" ca="1" si="44"/>
        <v/>
      </c>
      <c r="H1444" s="72"/>
      <c r="I1444" s="71"/>
      <c r="L1444" s="55" t="str">
        <f t="shared" ca="1" si="45"/>
        <v>NE</v>
      </c>
    </row>
    <row r="1445" spans="1:12" ht="27" thickBot="1">
      <c r="A1445" s="72"/>
      <c r="B1445" s="74"/>
      <c r="C1445" s="71"/>
      <c r="D1445" s="71"/>
      <c r="E1445" s="72"/>
      <c r="F1445" s="70"/>
      <c r="G1445" s="72" t="str">
        <f t="shared" ca="1" si="44"/>
        <v/>
      </c>
      <c r="H1445" s="72"/>
      <c r="I1445" s="71"/>
      <c r="L1445" s="55" t="str">
        <f t="shared" ca="1" si="45"/>
        <v>NE</v>
      </c>
    </row>
    <row r="1446" spans="1:12" ht="27" thickBot="1">
      <c r="A1446" s="72"/>
      <c r="B1446" s="74"/>
      <c r="C1446" s="71"/>
      <c r="D1446" s="71"/>
      <c r="E1446" s="72"/>
      <c r="F1446" s="70"/>
      <c r="G1446" s="72" t="str">
        <f t="shared" ca="1" si="44"/>
        <v/>
      </c>
      <c r="H1446" s="72"/>
      <c r="I1446" s="71"/>
      <c r="L1446" s="55" t="str">
        <f t="shared" ca="1" si="45"/>
        <v>NE</v>
      </c>
    </row>
    <row r="1447" spans="1:12" ht="27" thickBot="1">
      <c r="A1447" s="72"/>
      <c r="B1447" s="74"/>
      <c r="C1447" s="71"/>
      <c r="D1447" s="71"/>
      <c r="E1447" s="72"/>
      <c r="F1447" s="70"/>
      <c r="G1447" s="72" t="str">
        <f t="shared" ca="1" si="44"/>
        <v/>
      </c>
      <c r="H1447" s="72"/>
      <c r="I1447" s="71"/>
      <c r="L1447" s="55" t="str">
        <f t="shared" ca="1" si="45"/>
        <v>NE</v>
      </c>
    </row>
    <row r="1448" spans="1:12" ht="27" thickBot="1">
      <c r="A1448" s="72"/>
      <c r="B1448" s="74"/>
      <c r="C1448" s="71"/>
      <c r="D1448" s="71"/>
      <c r="E1448" s="72"/>
      <c r="F1448" s="70"/>
      <c r="G1448" s="72" t="str">
        <f t="shared" ca="1" si="44"/>
        <v/>
      </c>
      <c r="H1448" s="72"/>
      <c r="I1448" s="71"/>
      <c r="L1448" s="55" t="str">
        <f t="shared" ca="1" si="45"/>
        <v>NE</v>
      </c>
    </row>
    <row r="1449" spans="1:12" ht="27" thickBot="1">
      <c r="A1449" s="72"/>
      <c r="B1449" s="74"/>
      <c r="C1449" s="71"/>
      <c r="D1449" s="71"/>
      <c r="E1449" s="72"/>
      <c r="F1449" s="70"/>
      <c r="G1449" s="72" t="str">
        <f t="shared" ca="1" si="44"/>
        <v/>
      </c>
      <c r="H1449" s="72"/>
      <c r="I1449" s="71"/>
      <c r="L1449" s="55" t="str">
        <f t="shared" ca="1" si="45"/>
        <v>NE</v>
      </c>
    </row>
    <row r="1450" spans="1:12" ht="27" thickBot="1">
      <c r="A1450" s="72"/>
      <c r="B1450" s="74"/>
      <c r="C1450" s="71"/>
      <c r="D1450" s="71"/>
      <c r="E1450" s="72"/>
      <c r="F1450" s="70"/>
      <c r="G1450" s="72" t="str">
        <f t="shared" ca="1" si="44"/>
        <v/>
      </c>
      <c r="H1450" s="72"/>
      <c r="I1450" s="71"/>
      <c r="L1450" s="55" t="str">
        <f t="shared" ca="1" si="45"/>
        <v>NE</v>
      </c>
    </row>
    <row r="1451" spans="1:12" ht="27" thickBot="1">
      <c r="A1451" s="72"/>
      <c r="B1451" s="74"/>
      <c r="C1451" s="71"/>
      <c r="D1451" s="71"/>
      <c r="E1451" s="72"/>
      <c r="F1451" s="70"/>
      <c r="G1451" s="72" t="str">
        <f t="shared" ca="1" si="44"/>
        <v/>
      </c>
      <c r="H1451" s="72"/>
      <c r="I1451" s="71"/>
      <c r="L1451" s="55" t="str">
        <f t="shared" ca="1" si="45"/>
        <v>NE</v>
      </c>
    </row>
    <row r="1452" spans="1:12" ht="27" thickBot="1">
      <c r="A1452" s="72"/>
      <c r="B1452" s="74"/>
      <c r="C1452" s="71"/>
      <c r="D1452" s="71"/>
      <c r="E1452" s="72"/>
      <c r="F1452" s="70"/>
      <c r="G1452" s="72" t="str">
        <f t="shared" ca="1" si="44"/>
        <v/>
      </c>
      <c r="H1452" s="72"/>
      <c r="I1452" s="71"/>
      <c r="L1452" s="55" t="str">
        <f t="shared" ca="1" si="45"/>
        <v>NE</v>
      </c>
    </row>
    <row r="1453" spans="1:12" ht="27" thickBot="1">
      <c r="A1453" s="72"/>
      <c r="B1453" s="74"/>
      <c r="C1453" s="71"/>
      <c r="D1453" s="71"/>
      <c r="E1453" s="72"/>
      <c r="F1453" s="70"/>
      <c r="G1453" s="72" t="str">
        <f t="shared" ca="1" si="44"/>
        <v/>
      </c>
      <c r="H1453" s="72"/>
      <c r="I1453" s="71"/>
      <c r="L1453" s="55" t="str">
        <f t="shared" ca="1" si="45"/>
        <v>NE</v>
      </c>
    </row>
    <row r="1454" spans="1:12" ht="27" thickBot="1">
      <c r="A1454" s="72"/>
      <c r="B1454" s="74"/>
      <c r="C1454" s="71"/>
      <c r="D1454" s="71"/>
      <c r="E1454" s="72"/>
      <c r="F1454" s="70"/>
      <c r="G1454" s="72" t="str">
        <f t="shared" ref="G1454:G1517" ca="1" si="46">IF(ISBLANK(F1454),"",IF(F1454&gt;=TODAY(), "Non Echue", "Echue"))</f>
        <v/>
      </c>
      <c r="H1454" s="72"/>
      <c r="I1454" s="71"/>
      <c r="L1454" s="55" t="str">
        <f t="shared" ref="L1454:L1517" ca="1" si="47" xml:space="preserve"> IF(G1454 = "Echue",IF(H1454 = "Appliqué","EAP","NAP"),"NE")</f>
        <v>NE</v>
      </c>
    </row>
    <row r="1455" spans="1:12" ht="27" thickBot="1">
      <c r="A1455" s="72"/>
      <c r="B1455" s="74"/>
      <c r="C1455" s="71"/>
      <c r="D1455" s="71"/>
      <c r="E1455" s="72"/>
      <c r="F1455" s="70"/>
      <c r="G1455" s="72" t="str">
        <f t="shared" ca="1" si="46"/>
        <v/>
      </c>
      <c r="H1455" s="72"/>
      <c r="I1455" s="71"/>
      <c r="L1455" s="55" t="str">
        <f t="shared" ca="1" si="47"/>
        <v>NE</v>
      </c>
    </row>
    <row r="1456" spans="1:12" ht="27" thickBot="1">
      <c r="A1456" s="72"/>
      <c r="B1456" s="74"/>
      <c r="C1456" s="71"/>
      <c r="D1456" s="71"/>
      <c r="E1456" s="72"/>
      <c r="F1456" s="70"/>
      <c r="G1456" s="72" t="str">
        <f t="shared" ca="1" si="46"/>
        <v/>
      </c>
      <c r="H1456" s="72"/>
      <c r="I1456" s="71"/>
      <c r="L1456" s="55" t="str">
        <f t="shared" ca="1" si="47"/>
        <v>NE</v>
      </c>
    </row>
    <row r="1457" spans="1:12" ht="27" thickBot="1">
      <c r="A1457" s="72"/>
      <c r="B1457" s="74"/>
      <c r="C1457" s="71"/>
      <c r="D1457" s="71"/>
      <c r="E1457" s="72"/>
      <c r="F1457" s="70"/>
      <c r="G1457" s="72" t="str">
        <f t="shared" ca="1" si="46"/>
        <v/>
      </c>
      <c r="H1457" s="72"/>
      <c r="I1457" s="71"/>
      <c r="L1457" s="55" t="str">
        <f t="shared" ca="1" si="47"/>
        <v>NE</v>
      </c>
    </row>
    <row r="1458" spans="1:12" ht="27" thickBot="1">
      <c r="A1458" s="72"/>
      <c r="B1458" s="74"/>
      <c r="C1458" s="71"/>
      <c r="D1458" s="71"/>
      <c r="E1458" s="72"/>
      <c r="F1458" s="70"/>
      <c r="G1458" s="72" t="str">
        <f t="shared" ca="1" si="46"/>
        <v/>
      </c>
      <c r="H1458" s="72"/>
      <c r="I1458" s="71"/>
      <c r="L1458" s="55" t="str">
        <f t="shared" ca="1" si="47"/>
        <v>NE</v>
      </c>
    </row>
    <row r="1459" spans="1:12" ht="27" thickBot="1">
      <c r="A1459" s="72"/>
      <c r="B1459" s="74"/>
      <c r="C1459" s="71"/>
      <c r="D1459" s="71"/>
      <c r="E1459" s="72"/>
      <c r="F1459" s="70"/>
      <c r="G1459" s="72" t="str">
        <f t="shared" ca="1" si="46"/>
        <v/>
      </c>
      <c r="H1459" s="72"/>
      <c r="I1459" s="71"/>
      <c r="L1459" s="55" t="str">
        <f t="shared" ca="1" si="47"/>
        <v>NE</v>
      </c>
    </row>
    <row r="1460" spans="1:12" ht="27" thickBot="1">
      <c r="A1460" s="72"/>
      <c r="B1460" s="74"/>
      <c r="C1460" s="71"/>
      <c r="D1460" s="71"/>
      <c r="E1460" s="72"/>
      <c r="F1460" s="70"/>
      <c r="G1460" s="72" t="str">
        <f t="shared" ca="1" si="46"/>
        <v/>
      </c>
      <c r="H1460" s="72"/>
      <c r="I1460" s="71"/>
      <c r="L1460" s="55" t="str">
        <f t="shared" ca="1" si="47"/>
        <v>NE</v>
      </c>
    </row>
    <row r="1461" spans="1:12" ht="27" thickBot="1">
      <c r="A1461" s="72"/>
      <c r="B1461" s="74"/>
      <c r="C1461" s="71"/>
      <c r="D1461" s="71"/>
      <c r="E1461" s="72"/>
      <c r="F1461" s="70"/>
      <c r="G1461" s="72" t="str">
        <f t="shared" ca="1" si="46"/>
        <v/>
      </c>
      <c r="H1461" s="72"/>
      <c r="I1461" s="71"/>
      <c r="L1461" s="55" t="str">
        <f t="shared" ca="1" si="47"/>
        <v>NE</v>
      </c>
    </row>
    <row r="1462" spans="1:12" ht="27" thickBot="1">
      <c r="A1462" s="72"/>
      <c r="B1462" s="74"/>
      <c r="C1462" s="71"/>
      <c r="D1462" s="71"/>
      <c r="E1462" s="72"/>
      <c r="F1462" s="70"/>
      <c r="G1462" s="72" t="str">
        <f t="shared" ca="1" si="46"/>
        <v/>
      </c>
      <c r="H1462" s="72"/>
      <c r="I1462" s="71"/>
      <c r="L1462" s="55" t="str">
        <f t="shared" ca="1" si="47"/>
        <v>NE</v>
      </c>
    </row>
    <row r="1463" spans="1:12" ht="27" thickBot="1">
      <c r="A1463" s="72"/>
      <c r="B1463" s="74"/>
      <c r="C1463" s="71"/>
      <c r="D1463" s="71"/>
      <c r="E1463" s="72"/>
      <c r="F1463" s="70"/>
      <c r="G1463" s="72" t="str">
        <f t="shared" ca="1" si="46"/>
        <v/>
      </c>
      <c r="H1463" s="72"/>
      <c r="I1463" s="71"/>
      <c r="L1463" s="55" t="str">
        <f t="shared" ca="1" si="47"/>
        <v>NE</v>
      </c>
    </row>
    <row r="1464" spans="1:12" ht="27" thickBot="1">
      <c r="A1464" s="72"/>
      <c r="B1464" s="74"/>
      <c r="C1464" s="71"/>
      <c r="D1464" s="71"/>
      <c r="E1464" s="72"/>
      <c r="F1464" s="70"/>
      <c r="G1464" s="72" t="str">
        <f t="shared" ca="1" si="46"/>
        <v/>
      </c>
      <c r="H1464" s="72"/>
      <c r="I1464" s="71"/>
      <c r="L1464" s="55" t="str">
        <f t="shared" ca="1" si="47"/>
        <v>NE</v>
      </c>
    </row>
    <row r="1465" spans="1:12" ht="27" thickBot="1">
      <c r="A1465" s="72"/>
      <c r="B1465" s="74"/>
      <c r="C1465" s="71"/>
      <c r="D1465" s="71"/>
      <c r="E1465" s="72"/>
      <c r="F1465" s="70"/>
      <c r="G1465" s="72" t="str">
        <f t="shared" ca="1" si="46"/>
        <v/>
      </c>
      <c r="H1465" s="72"/>
      <c r="I1465" s="71"/>
      <c r="L1465" s="55" t="str">
        <f t="shared" ca="1" si="47"/>
        <v>NE</v>
      </c>
    </row>
    <row r="1466" spans="1:12" ht="27" thickBot="1">
      <c r="A1466" s="72"/>
      <c r="B1466" s="74"/>
      <c r="C1466" s="71"/>
      <c r="D1466" s="71"/>
      <c r="E1466" s="72"/>
      <c r="F1466" s="70"/>
      <c r="G1466" s="72" t="str">
        <f t="shared" ca="1" si="46"/>
        <v/>
      </c>
      <c r="H1466" s="72"/>
      <c r="I1466" s="71"/>
      <c r="L1466" s="55" t="str">
        <f t="shared" ca="1" si="47"/>
        <v>NE</v>
      </c>
    </row>
    <row r="1467" spans="1:12" ht="27" thickBot="1">
      <c r="A1467" s="72"/>
      <c r="B1467" s="74"/>
      <c r="C1467" s="71"/>
      <c r="D1467" s="71"/>
      <c r="E1467" s="72"/>
      <c r="F1467" s="70"/>
      <c r="G1467" s="72" t="str">
        <f t="shared" ca="1" si="46"/>
        <v/>
      </c>
      <c r="H1467" s="72"/>
      <c r="I1467" s="71"/>
      <c r="L1467" s="55" t="str">
        <f t="shared" ca="1" si="47"/>
        <v>NE</v>
      </c>
    </row>
    <row r="1468" spans="1:12" ht="27" thickBot="1">
      <c r="A1468" s="72"/>
      <c r="B1468" s="74"/>
      <c r="C1468" s="71"/>
      <c r="D1468" s="71"/>
      <c r="E1468" s="72"/>
      <c r="F1468" s="70"/>
      <c r="G1468" s="72" t="str">
        <f t="shared" ca="1" si="46"/>
        <v/>
      </c>
      <c r="H1468" s="72"/>
      <c r="I1468" s="71"/>
      <c r="L1468" s="55" t="str">
        <f t="shared" ca="1" si="47"/>
        <v>NE</v>
      </c>
    </row>
    <row r="1469" spans="1:12" ht="27" thickBot="1">
      <c r="A1469" s="72"/>
      <c r="B1469" s="74"/>
      <c r="C1469" s="71"/>
      <c r="D1469" s="71"/>
      <c r="E1469" s="72"/>
      <c r="F1469" s="70"/>
      <c r="G1469" s="72" t="str">
        <f t="shared" ca="1" si="46"/>
        <v/>
      </c>
      <c r="H1469" s="72"/>
      <c r="I1469" s="71"/>
      <c r="L1469" s="55" t="str">
        <f t="shared" ca="1" si="47"/>
        <v>NE</v>
      </c>
    </row>
    <row r="1470" spans="1:12" ht="27" thickBot="1">
      <c r="A1470" s="72"/>
      <c r="B1470" s="74"/>
      <c r="C1470" s="71"/>
      <c r="D1470" s="71"/>
      <c r="E1470" s="72"/>
      <c r="F1470" s="70"/>
      <c r="G1470" s="72" t="str">
        <f t="shared" ca="1" si="46"/>
        <v/>
      </c>
      <c r="H1470" s="72"/>
      <c r="I1470" s="71"/>
      <c r="L1470" s="55" t="str">
        <f t="shared" ca="1" si="47"/>
        <v>NE</v>
      </c>
    </row>
    <row r="1471" spans="1:12" ht="27" thickBot="1">
      <c r="A1471" s="72"/>
      <c r="B1471" s="74"/>
      <c r="C1471" s="71"/>
      <c r="D1471" s="71"/>
      <c r="E1471" s="72"/>
      <c r="F1471" s="70"/>
      <c r="G1471" s="72" t="str">
        <f t="shared" ca="1" si="46"/>
        <v/>
      </c>
      <c r="H1471" s="72"/>
      <c r="I1471" s="71"/>
      <c r="L1471" s="55" t="str">
        <f t="shared" ca="1" si="47"/>
        <v>NE</v>
      </c>
    </row>
    <row r="1472" spans="1:12" ht="27" thickBot="1">
      <c r="A1472" s="72"/>
      <c r="B1472" s="74"/>
      <c r="C1472" s="71"/>
      <c r="D1472" s="71"/>
      <c r="E1472" s="72"/>
      <c r="F1472" s="70"/>
      <c r="G1472" s="72" t="str">
        <f t="shared" ca="1" si="46"/>
        <v/>
      </c>
      <c r="H1472" s="72"/>
      <c r="I1472" s="71"/>
      <c r="L1472" s="55" t="str">
        <f t="shared" ca="1" si="47"/>
        <v>NE</v>
      </c>
    </row>
    <row r="1473" spans="1:12" ht="27" thickBot="1">
      <c r="A1473" s="72"/>
      <c r="B1473" s="74"/>
      <c r="C1473" s="71"/>
      <c r="D1473" s="71"/>
      <c r="E1473" s="72"/>
      <c r="F1473" s="70"/>
      <c r="G1473" s="72" t="str">
        <f t="shared" ca="1" si="46"/>
        <v/>
      </c>
      <c r="H1473" s="72"/>
      <c r="I1473" s="71"/>
      <c r="L1473" s="55" t="str">
        <f t="shared" ca="1" si="47"/>
        <v>NE</v>
      </c>
    </row>
    <row r="1474" spans="1:12" ht="27" thickBot="1">
      <c r="A1474" s="72"/>
      <c r="B1474" s="74"/>
      <c r="C1474" s="71"/>
      <c r="D1474" s="71"/>
      <c r="E1474" s="72"/>
      <c r="F1474" s="70"/>
      <c r="G1474" s="72" t="str">
        <f t="shared" ca="1" si="46"/>
        <v/>
      </c>
      <c r="H1474" s="72"/>
      <c r="I1474" s="71"/>
      <c r="L1474" s="55" t="str">
        <f t="shared" ca="1" si="47"/>
        <v>NE</v>
      </c>
    </row>
    <row r="1475" spans="1:12" ht="27" thickBot="1">
      <c r="A1475" s="72"/>
      <c r="B1475" s="74"/>
      <c r="C1475" s="71"/>
      <c r="D1475" s="71"/>
      <c r="E1475" s="72"/>
      <c r="F1475" s="70"/>
      <c r="G1475" s="72" t="str">
        <f t="shared" ca="1" si="46"/>
        <v/>
      </c>
      <c r="H1475" s="72"/>
      <c r="I1475" s="71"/>
      <c r="L1475" s="55" t="str">
        <f t="shared" ca="1" si="47"/>
        <v>NE</v>
      </c>
    </row>
    <row r="1476" spans="1:12" ht="27" thickBot="1">
      <c r="A1476" s="72"/>
      <c r="B1476" s="74"/>
      <c r="C1476" s="71"/>
      <c r="D1476" s="71"/>
      <c r="E1476" s="72"/>
      <c r="F1476" s="70"/>
      <c r="G1476" s="72" t="str">
        <f t="shared" ca="1" si="46"/>
        <v/>
      </c>
      <c r="H1476" s="72"/>
      <c r="I1476" s="71"/>
      <c r="L1476" s="55" t="str">
        <f t="shared" ca="1" si="47"/>
        <v>NE</v>
      </c>
    </row>
    <row r="1477" spans="1:12" ht="27" thickBot="1">
      <c r="A1477" s="72"/>
      <c r="B1477" s="74"/>
      <c r="C1477" s="71"/>
      <c r="D1477" s="71"/>
      <c r="E1477" s="72"/>
      <c r="F1477" s="70"/>
      <c r="G1477" s="72" t="str">
        <f t="shared" ca="1" si="46"/>
        <v/>
      </c>
      <c r="H1477" s="72"/>
      <c r="I1477" s="71"/>
      <c r="L1477" s="55" t="str">
        <f t="shared" ca="1" si="47"/>
        <v>NE</v>
      </c>
    </row>
    <row r="1478" spans="1:12" ht="27" thickBot="1">
      <c r="A1478" s="72"/>
      <c r="B1478" s="74"/>
      <c r="C1478" s="71"/>
      <c r="D1478" s="71"/>
      <c r="E1478" s="72"/>
      <c r="F1478" s="70"/>
      <c r="G1478" s="72" t="str">
        <f t="shared" ca="1" si="46"/>
        <v/>
      </c>
      <c r="H1478" s="72"/>
      <c r="I1478" s="71"/>
      <c r="L1478" s="55" t="str">
        <f t="shared" ca="1" si="47"/>
        <v>NE</v>
      </c>
    </row>
    <row r="1479" spans="1:12" ht="27" thickBot="1">
      <c r="A1479" s="72"/>
      <c r="B1479" s="74"/>
      <c r="C1479" s="71"/>
      <c r="D1479" s="71"/>
      <c r="E1479" s="72"/>
      <c r="F1479" s="70"/>
      <c r="G1479" s="72" t="str">
        <f t="shared" ca="1" si="46"/>
        <v/>
      </c>
      <c r="H1479" s="72"/>
      <c r="I1479" s="71"/>
      <c r="L1479" s="55" t="str">
        <f t="shared" ca="1" si="47"/>
        <v>NE</v>
      </c>
    </row>
    <row r="1480" spans="1:12" ht="27" thickBot="1">
      <c r="A1480" s="72"/>
      <c r="B1480" s="74"/>
      <c r="C1480" s="71"/>
      <c r="D1480" s="71"/>
      <c r="E1480" s="72"/>
      <c r="F1480" s="70"/>
      <c r="G1480" s="72" t="str">
        <f t="shared" ca="1" si="46"/>
        <v/>
      </c>
      <c r="H1480" s="72"/>
      <c r="I1480" s="71"/>
      <c r="L1480" s="55" t="str">
        <f t="shared" ca="1" si="47"/>
        <v>NE</v>
      </c>
    </row>
    <row r="1481" spans="1:12" ht="27" thickBot="1">
      <c r="A1481" s="72"/>
      <c r="B1481" s="74"/>
      <c r="C1481" s="71"/>
      <c r="D1481" s="71"/>
      <c r="E1481" s="72"/>
      <c r="F1481" s="70"/>
      <c r="G1481" s="72" t="str">
        <f t="shared" ca="1" si="46"/>
        <v/>
      </c>
      <c r="H1481" s="72"/>
      <c r="I1481" s="71"/>
      <c r="L1481" s="55" t="str">
        <f t="shared" ca="1" si="47"/>
        <v>NE</v>
      </c>
    </row>
    <row r="1482" spans="1:12" ht="27" thickBot="1">
      <c r="A1482" s="72"/>
      <c r="B1482" s="74"/>
      <c r="C1482" s="71"/>
      <c r="D1482" s="71"/>
      <c r="E1482" s="72"/>
      <c r="F1482" s="70"/>
      <c r="G1482" s="72" t="str">
        <f t="shared" ca="1" si="46"/>
        <v/>
      </c>
      <c r="H1482" s="72"/>
      <c r="I1482" s="71"/>
      <c r="L1482" s="55" t="str">
        <f t="shared" ca="1" si="47"/>
        <v>NE</v>
      </c>
    </row>
    <row r="1483" spans="1:12" ht="27" thickBot="1">
      <c r="A1483" s="72"/>
      <c r="B1483" s="74"/>
      <c r="C1483" s="71"/>
      <c r="D1483" s="71"/>
      <c r="E1483" s="72"/>
      <c r="F1483" s="70"/>
      <c r="G1483" s="72" t="str">
        <f t="shared" ca="1" si="46"/>
        <v/>
      </c>
      <c r="H1483" s="72"/>
      <c r="I1483" s="71"/>
      <c r="L1483" s="55" t="str">
        <f t="shared" ca="1" si="47"/>
        <v>NE</v>
      </c>
    </row>
    <row r="1484" spans="1:12" ht="27" thickBot="1">
      <c r="A1484" s="72"/>
      <c r="B1484" s="74"/>
      <c r="C1484" s="71"/>
      <c r="D1484" s="71"/>
      <c r="E1484" s="72"/>
      <c r="F1484" s="70"/>
      <c r="G1484" s="72" t="str">
        <f t="shared" ca="1" si="46"/>
        <v/>
      </c>
      <c r="H1484" s="72"/>
      <c r="I1484" s="71"/>
      <c r="L1484" s="55" t="str">
        <f t="shared" ca="1" si="47"/>
        <v>NE</v>
      </c>
    </row>
    <row r="1485" spans="1:12" ht="27" thickBot="1">
      <c r="A1485" s="72"/>
      <c r="B1485" s="74"/>
      <c r="C1485" s="71"/>
      <c r="D1485" s="71"/>
      <c r="E1485" s="72"/>
      <c r="F1485" s="70"/>
      <c r="G1485" s="72" t="str">
        <f t="shared" ca="1" si="46"/>
        <v/>
      </c>
      <c r="H1485" s="72"/>
      <c r="I1485" s="71"/>
      <c r="L1485" s="55" t="str">
        <f t="shared" ca="1" si="47"/>
        <v>NE</v>
      </c>
    </row>
    <row r="1486" spans="1:12" ht="27" thickBot="1">
      <c r="A1486" s="72"/>
      <c r="B1486" s="74"/>
      <c r="C1486" s="71"/>
      <c r="D1486" s="71"/>
      <c r="E1486" s="72"/>
      <c r="F1486" s="70"/>
      <c r="G1486" s="72" t="str">
        <f t="shared" ca="1" si="46"/>
        <v/>
      </c>
      <c r="H1486" s="72"/>
      <c r="I1486" s="71"/>
      <c r="L1486" s="55" t="str">
        <f t="shared" ca="1" si="47"/>
        <v>NE</v>
      </c>
    </row>
    <row r="1487" spans="1:12" ht="27" thickBot="1">
      <c r="A1487" s="72"/>
      <c r="B1487" s="74"/>
      <c r="C1487" s="71"/>
      <c r="D1487" s="71"/>
      <c r="E1487" s="72"/>
      <c r="F1487" s="70"/>
      <c r="G1487" s="72" t="str">
        <f t="shared" ca="1" si="46"/>
        <v/>
      </c>
      <c r="H1487" s="72"/>
      <c r="I1487" s="71"/>
      <c r="L1487" s="55" t="str">
        <f t="shared" ca="1" si="47"/>
        <v>NE</v>
      </c>
    </row>
    <row r="1488" spans="1:12" ht="27" thickBot="1">
      <c r="A1488" s="72"/>
      <c r="B1488" s="74"/>
      <c r="C1488" s="71"/>
      <c r="D1488" s="71"/>
      <c r="E1488" s="72"/>
      <c r="F1488" s="70"/>
      <c r="G1488" s="72" t="str">
        <f t="shared" ca="1" si="46"/>
        <v/>
      </c>
      <c r="H1488" s="72"/>
      <c r="I1488" s="71"/>
      <c r="L1488" s="55" t="str">
        <f t="shared" ca="1" si="47"/>
        <v>NE</v>
      </c>
    </row>
    <row r="1489" spans="1:12" ht="27" thickBot="1">
      <c r="A1489" s="72"/>
      <c r="B1489" s="74"/>
      <c r="C1489" s="71"/>
      <c r="D1489" s="71"/>
      <c r="E1489" s="72"/>
      <c r="F1489" s="70"/>
      <c r="G1489" s="72" t="str">
        <f t="shared" ca="1" si="46"/>
        <v/>
      </c>
      <c r="H1489" s="72"/>
      <c r="I1489" s="71"/>
      <c r="L1489" s="55" t="str">
        <f t="shared" ca="1" si="47"/>
        <v>NE</v>
      </c>
    </row>
    <row r="1490" spans="1:12" ht="27" thickBot="1">
      <c r="A1490" s="72"/>
      <c r="B1490" s="74"/>
      <c r="C1490" s="71"/>
      <c r="D1490" s="71"/>
      <c r="E1490" s="72"/>
      <c r="F1490" s="70"/>
      <c r="G1490" s="72" t="str">
        <f t="shared" ca="1" si="46"/>
        <v/>
      </c>
      <c r="H1490" s="72"/>
      <c r="I1490" s="71"/>
      <c r="L1490" s="55" t="str">
        <f t="shared" ca="1" si="47"/>
        <v>NE</v>
      </c>
    </row>
    <row r="1491" spans="1:12" ht="27" thickBot="1">
      <c r="A1491" s="72"/>
      <c r="B1491" s="74"/>
      <c r="C1491" s="71"/>
      <c r="D1491" s="71"/>
      <c r="E1491" s="72"/>
      <c r="F1491" s="70"/>
      <c r="G1491" s="72" t="str">
        <f t="shared" ca="1" si="46"/>
        <v/>
      </c>
      <c r="H1491" s="72"/>
      <c r="I1491" s="71"/>
      <c r="L1491" s="55" t="str">
        <f t="shared" ca="1" si="47"/>
        <v>NE</v>
      </c>
    </row>
    <row r="1492" spans="1:12" ht="27" thickBot="1">
      <c r="A1492" s="72"/>
      <c r="B1492" s="74"/>
      <c r="C1492" s="71"/>
      <c r="D1492" s="71"/>
      <c r="E1492" s="72"/>
      <c r="F1492" s="70"/>
      <c r="G1492" s="72" t="str">
        <f t="shared" ca="1" si="46"/>
        <v/>
      </c>
      <c r="H1492" s="72"/>
      <c r="I1492" s="71"/>
      <c r="L1492" s="55" t="str">
        <f t="shared" ca="1" si="47"/>
        <v>NE</v>
      </c>
    </row>
    <row r="1493" spans="1:12" ht="27" thickBot="1">
      <c r="A1493" s="72"/>
      <c r="B1493" s="74"/>
      <c r="C1493" s="71"/>
      <c r="D1493" s="71"/>
      <c r="E1493" s="72"/>
      <c r="F1493" s="70"/>
      <c r="G1493" s="72" t="str">
        <f t="shared" ca="1" si="46"/>
        <v/>
      </c>
      <c r="H1493" s="72"/>
      <c r="I1493" s="71"/>
      <c r="L1493" s="55" t="str">
        <f t="shared" ca="1" si="47"/>
        <v>NE</v>
      </c>
    </row>
    <row r="1494" spans="1:12" ht="27" thickBot="1">
      <c r="A1494" s="72"/>
      <c r="B1494" s="74"/>
      <c r="C1494" s="71"/>
      <c r="D1494" s="71"/>
      <c r="E1494" s="72"/>
      <c r="F1494" s="70"/>
      <c r="G1494" s="72" t="str">
        <f t="shared" ca="1" si="46"/>
        <v/>
      </c>
      <c r="H1494" s="72"/>
      <c r="I1494" s="71"/>
      <c r="L1494" s="55" t="str">
        <f t="shared" ca="1" si="47"/>
        <v>NE</v>
      </c>
    </row>
    <row r="1495" spans="1:12" ht="27" thickBot="1">
      <c r="A1495" s="72"/>
      <c r="B1495" s="74"/>
      <c r="C1495" s="71"/>
      <c r="D1495" s="71"/>
      <c r="E1495" s="72"/>
      <c r="F1495" s="70"/>
      <c r="G1495" s="72" t="str">
        <f t="shared" ca="1" si="46"/>
        <v/>
      </c>
      <c r="H1495" s="72"/>
      <c r="I1495" s="71"/>
      <c r="L1495" s="55" t="str">
        <f t="shared" ca="1" si="47"/>
        <v>NE</v>
      </c>
    </row>
    <row r="1496" spans="1:12" ht="27" thickBot="1">
      <c r="A1496" s="72"/>
      <c r="B1496" s="74"/>
      <c r="C1496" s="71"/>
      <c r="D1496" s="71"/>
      <c r="E1496" s="72"/>
      <c r="F1496" s="70"/>
      <c r="G1496" s="72" t="str">
        <f t="shared" ca="1" si="46"/>
        <v/>
      </c>
      <c r="H1496" s="72"/>
      <c r="I1496" s="71"/>
      <c r="L1496" s="55" t="str">
        <f t="shared" ca="1" si="47"/>
        <v>NE</v>
      </c>
    </row>
    <row r="1497" spans="1:12" ht="27" thickBot="1">
      <c r="A1497" s="72"/>
      <c r="B1497" s="74"/>
      <c r="C1497" s="71"/>
      <c r="D1497" s="71"/>
      <c r="E1497" s="72"/>
      <c r="F1497" s="70"/>
      <c r="G1497" s="72" t="str">
        <f t="shared" ca="1" si="46"/>
        <v/>
      </c>
      <c r="H1497" s="72"/>
      <c r="I1497" s="71"/>
      <c r="L1497" s="55" t="str">
        <f t="shared" ca="1" si="47"/>
        <v>NE</v>
      </c>
    </row>
    <row r="1498" spans="1:12" ht="27" thickBot="1">
      <c r="A1498" s="72"/>
      <c r="B1498" s="74"/>
      <c r="C1498" s="71"/>
      <c r="D1498" s="71"/>
      <c r="E1498" s="72"/>
      <c r="F1498" s="70"/>
      <c r="G1498" s="72" t="str">
        <f t="shared" ca="1" si="46"/>
        <v/>
      </c>
      <c r="H1498" s="72"/>
      <c r="I1498" s="71"/>
      <c r="L1498" s="55" t="str">
        <f t="shared" ca="1" si="47"/>
        <v>NE</v>
      </c>
    </row>
    <row r="1499" spans="1:12" ht="27" thickBot="1">
      <c r="A1499" s="72"/>
      <c r="B1499" s="74"/>
      <c r="C1499" s="71"/>
      <c r="D1499" s="71"/>
      <c r="E1499" s="72"/>
      <c r="F1499" s="70"/>
      <c r="G1499" s="72" t="str">
        <f t="shared" ca="1" si="46"/>
        <v/>
      </c>
      <c r="H1499" s="72"/>
      <c r="I1499" s="71"/>
      <c r="L1499" s="55" t="str">
        <f t="shared" ca="1" si="47"/>
        <v>NE</v>
      </c>
    </row>
    <row r="1500" spans="1:12" ht="27" thickBot="1">
      <c r="A1500" s="72"/>
      <c r="B1500" s="74"/>
      <c r="C1500" s="71"/>
      <c r="D1500" s="71"/>
      <c r="E1500" s="72"/>
      <c r="F1500" s="70"/>
      <c r="G1500" s="72" t="str">
        <f t="shared" ca="1" si="46"/>
        <v/>
      </c>
      <c r="H1500" s="72"/>
      <c r="I1500" s="71"/>
      <c r="L1500" s="55" t="str">
        <f t="shared" ca="1" si="47"/>
        <v>NE</v>
      </c>
    </row>
    <row r="1501" spans="1:12" ht="27" thickBot="1">
      <c r="A1501" s="72"/>
      <c r="B1501" s="74"/>
      <c r="C1501" s="71"/>
      <c r="D1501" s="71"/>
      <c r="E1501" s="72"/>
      <c r="F1501" s="70"/>
      <c r="G1501" s="72" t="str">
        <f t="shared" ca="1" si="46"/>
        <v/>
      </c>
      <c r="H1501" s="72"/>
      <c r="I1501" s="71"/>
      <c r="L1501" s="55" t="str">
        <f t="shared" ca="1" si="47"/>
        <v>NE</v>
      </c>
    </row>
    <row r="1502" spans="1:12" ht="27" thickBot="1">
      <c r="A1502" s="72"/>
      <c r="B1502" s="74"/>
      <c r="C1502" s="71"/>
      <c r="D1502" s="71"/>
      <c r="E1502" s="72"/>
      <c r="F1502" s="70"/>
      <c r="G1502" s="72" t="str">
        <f t="shared" ca="1" si="46"/>
        <v/>
      </c>
      <c r="H1502" s="72"/>
      <c r="I1502" s="71"/>
      <c r="L1502" s="55" t="str">
        <f t="shared" ca="1" si="47"/>
        <v>NE</v>
      </c>
    </row>
    <row r="1503" spans="1:12" ht="27" thickBot="1">
      <c r="A1503" s="72"/>
      <c r="B1503" s="74"/>
      <c r="C1503" s="71"/>
      <c r="D1503" s="71"/>
      <c r="E1503" s="72"/>
      <c r="F1503" s="70"/>
      <c r="G1503" s="72" t="str">
        <f t="shared" ca="1" si="46"/>
        <v/>
      </c>
      <c r="H1503" s="72"/>
      <c r="I1503" s="71"/>
      <c r="L1503" s="55" t="str">
        <f t="shared" ca="1" si="47"/>
        <v>NE</v>
      </c>
    </row>
    <row r="1504" spans="1:12" ht="27" thickBot="1">
      <c r="A1504" s="72"/>
      <c r="B1504" s="74"/>
      <c r="C1504" s="71"/>
      <c r="D1504" s="71"/>
      <c r="E1504" s="72"/>
      <c r="F1504" s="70"/>
      <c r="G1504" s="72" t="str">
        <f t="shared" ca="1" si="46"/>
        <v/>
      </c>
      <c r="H1504" s="72"/>
      <c r="I1504" s="71"/>
      <c r="L1504" s="55" t="str">
        <f t="shared" ca="1" si="47"/>
        <v>NE</v>
      </c>
    </row>
    <row r="1505" spans="1:12" ht="27" thickBot="1">
      <c r="A1505" s="72"/>
      <c r="B1505" s="74"/>
      <c r="C1505" s="71"/>
      <c r="D1505" s="71"/>
      <c r="E1505" s="72"/>
      <c r="F1505" s="70"/>
      <c r="G1505" s="72" t="str">
        <f t="shared" ca="1" si="46"/>
        <v/>
      </c>
      <c r="H1505" s="72"/>
      <c r="I1505" s="71"/>
      <c r="L1505" s="55" t="str">
        <f t="shared" ca="1" si="47"/>
        <v>NE</v>
      </c>
    </row>
    <row r="1506" spans="1:12" ht="27" thickBot="1">
      <c r="A1506" s="72"/>
      <c r="B1506" s="74"/>
      <c r="C1506" s="71"/>
      <c r="D1506" s="71"/>
      <c r="E1506" s="72"/>
      <c r="F1506" s="70"/>
      <c r="G1506" s="72" t="str">
        <f t="shared" ca="1" si="46"/>
        <v/>
      </c>
      <c r="H1506" s="72"/>
      <c r="I1506" s="71"/>
      <c r="L1506" s="55" t="str">
        <f t="shared" ca="1" si="47"/>
        <v>NE</v>
      </c>
    </row>
    <row r="1507" spans="1:12" ht="27" thickBot="1">
      <c r="A1507" s="72"/>
      <c r="B1507" s="74"/>
      <c r="C1507" s="71"/>
      <c r="D1507" s="71"/>
      <c r="E1507" s="72"/>
      <c r="F1507" s="70"/>
      <c r="G1507" s="72" t="str">
        <f t="shared" ca="1" si="46"/>
        <v/>
      </c>
      <c r="H1507" s="72"/>
      <c r="I1507" s="71"/>
      <c r="L1507" s="55" t="str">
        <f t="shared" ca="1" si="47"/>
        <v>NE</v>
      </c>
    </row>
    <row r="1508" spans="1:12" ht="27" thickBot="1">
      <c r="A1508" s="72"/>
      <c r="B1508" s="74"/>
      <c r="C1508" s="71"/>
      <c r="D1508" s="71"/>
      <c r="E1508" s="72"/>
      <c r="F1508" s="70"/>
      <c r="G1508" s="72" t="str">
        <f t="shared" ca="1" si="46"/>
        <v/>
      </c>
      <c r="H1508" s="72"/>
      <c r="I1508" s="71"/>
      <c r="L1508" s="55" t="str">
        <f t="shared" ca="1" si="47"/>
        <v>NE</v>
      </c>
    </row>
    <row r="1509" spans="1:12" ht="27" thickBot="1">
      <c r="A1509" s="72"/>
      <c r="B1509" s="74"/>
      <c r="C1509" s="71"/>
      <c r="D1509" s="71"/>
      <c r="E1509" s="72"/>
      <c r="F1509" s="70"/>
      <c r="G1509" s="72" t="str">
        <f t="shared" ca="1" si="46"/>
        <v/>
      </c>
      <c r="H1509" s="72"/>
      <c r="I1509" s="71"/>
      <c r="L1509" s="55" t="str">
        <f t="shared" ca="1" si="47"/>
        <v>NE</v>
      </c>
    </row>
    <row r="1510" spans="1:12" ht="27" thickBot="1">
      <c r="A1510" s="72"/>
      <c r="B1510" s="74"/>
      <c r="C1510" s="71"/>
      <c r="D1510" s="71"/>
      <c r="E1510" s="72"/>
      <c r="F1510" s="70"/>
      <c r="G1510" s="72" t="str">
        <f t="shared" ca="1" si="46"/>
        <v/>
      </c>
      <c r="H1510" s="72"/>
      <c r="I1510" s="71"/>
      <c r="L1510" s="55" t="str">
        <f t="shared" ca="1" si="47"/>
        <v>NE</v>
      </c>
    </row>
    <row r="1511" spans="1:12" ht="27" thickBot="1">
      <c r="A1511" s="72"/>
      <c r="B1511" s="74"/>
      <c r="C1511" s="71"/>
      <c r="D1511" s="71"/>
      <c r="E1511" s="72"/>
      <c r="F1511" s="70"/>
      <c r="G1511" s="72" t="str">
        <f t="shared" ca="1" si="46"/>
        <v/>
      </c>
      <c r="H1511" s="72"/>
      <c r="I1511" s="71"/>
      <c r="L1511" s="55" t="str">
        <f t="shared" ca="1" si="47"/>
        <v>NE</v>
      </c>
    </row>
    <row r="1512" spans="1:12" ht="27" thickBot="1">
      <c r="A1512" s="72"/>
      <c r="B1512" s="74"/>
      <c r="C1512" s="71"/>
      <c r="D1512" s="71"/>
      <c r="E1512" s="72"/>
      <c r="F1512" s="70"/>
      <c r="G1512" s="72" t="str">
        <f t="shared" ca="1" si="46"/>
        <v/>
      </c>
      <c r="H1512" s="72"/>
      <c r="I1512" s="71"/>
      <c r="L1512" s="55" t="str">
        <f t="shared" ca="1" si="47"/>
        <v>NE</v>
      </c>
    </row>
    <row r="1513" spans="1:12" ht="27" thickBot="1">
      <c r="A1513" s="72"/>
      <c r="B1513" s="74"/>
      <c r="C1513" s="71"/>
      <c r="D1513" s="71"/>
      <c r="E1513" s="72"/>
      <c r="F1513" s="70"/>
      <c r="G1513" s="72" t="str">
        <f t="shared" ca="1" si="46"/>
        <v/>
      </c>
      <c r="H1513" s="72"/>
      <c r="I1513" s="71"/>
      <c r="L1513" s="55" t="str">
        <f t="shared" ca="1" si="47"/>
        <v>NE</v>
      </c>
    </row>
    <row r="1514" spans="1:12" ht="27" thickBot="1">
      <c r="A1514" s="72"/>
      <c r="B1514" s="74"/>
      <c r="C1514" s="71"/>
      <c r="D1514" s="71"/>
      <c r="E1514" s="72"/>
      <c r="F1514" s="70"/>
      <c r="G1514" s="72" t="str">
        <f t="shared" ca="1" si="46"/>
        <v/>
      </c>
      <c r="H1514" s="72"/>
      <c r="I1514" s="71"/>
      <c r="L1514" s="55" t="str">
        <f t="shared" ca="1" si="47"/>
        <v>NE</v>
      </c>
    </row>
    <row r="1515" spans="1:12" ht="27" thickBot="1">
      <c r="A1515" s="72"/>
      <c r="B1515" s="74"/>
      <c r="C1515" s="71"/>
      <c r="D1515" s="71"/>
      <c r="E1515" s="72"/>
      <c r="F1515" s="70"/>
      <c r="G1515" s="72" t="str">
        <f t="shared" ca="1" si="46"/>
        <v/>
      </c>
      <c r="H1515" s="72"/>
      <c r="I1515" s="71"/>
      <c r="L1515" s="55" t="str">
        <f t="shared" ca="1" si="47"/>
        <v>NE</v>
      </c>
    </row>
    <row r="1516" spans="1:12" ht="27" thickBot="1">
      <c r="A1516" s="72"/>
      <c r="B1516" s="74"/>
      <c r="C1516" s="71"/>
      <c r="D1516" s="71"/>
      <c r="E1516" s="72"/>
      <c r="F1516" s="70"/>
      <c r="G1516" s="72" t="str">
        <f t="shared" ca="1" si="46"/>
        <v/>
      </c>
      <c r="H1516" s="72"/>
      <c r="I1516" s="71"/>
      <c r="L1516" s="55" t="str">
        <f t="shared" ca="1" si="47"/>
        <v>NE</v>
      </c>
    </row>
    <row r="1517" spans="1:12" ht="27" thickBot="1">
      <c r="A1517" s="72"/>
      <c r="B1517" s="74"/>
      <c r="C1517" s="71"/>
      <c r="D1517" s="71"/>
      <c r="E1517" s="72"/>
      <c r="F1517" s="70"/>
      <c r="G1517" s="72" t="str">
        <f t="shared" ca="1" si="46"/>
        <v/>
      </c>
      <c r="H1517" s="72"/>
      <c r="I1517" s="71"/>
      <c r="L1517" s="55" t="str">
        <f t="shared" ca="1" si="47"/>
        <v>NE</v>
      </c>
    </row>
    <row r="1518" spans="1:12" ht="27" thickBot="1">
      <c r="A1518" s="72"/>
      <c r="B1518" s="74"/>
      <c r="C1518" s="71"/>
      <c r="D1518" s="71"/>
      <c r="E1518" s="72"/>
      <c r="F1518" s="70"/>
      <c r="G1518" s="72" t="str">
        <f t="shared" ref="G1518:G1581" ca="1" si="48">IF(ISBLANK(F1518),"",IF(F1518&gt;=TODAY(), "Non Echue", "Echue"))</f>
        <v/>
      </c>
      <c r="H1518" s="72"/>
      <c r="I1518" s="71"/>
      <c r="L1518" s="55" t="str">
        <f t="shared" ref="L1518:L1581" ca="1" si="49" xml:space="preserve"> IF(G1518 = "Echue",IF(H1518 = "Appliqué","EAP","NAP"),"NE")</f>
        <v>NE</v>
      </c>
    </row>
    <row r="1519" spans="1:12" ht="27" thickBot="1">
      <c r="A1519" s="72"/>
      <c r="B1519" s="74"/>
      <c r="C1519" s="71"/>
      <c r="D1519" s="71"/>
      <c r="E1519" s="72"/>
      <c r="F1519" s="70"/>
      <c r="G1519" s="72" t="str">
        <f t="shared" ca="1" si="48"/>
        <v/>
      </c>
      <c r="H1519" s="72"/>
      <c r="I1519" s="71"/>
      <c r="L1519" s="55" t="str">
        <f t="shared" ca="1" si="49"/>
        <v>NE</v>
      </c>
    </row>
    <row r="1520" spans="1:12" ht="27" thickBot="1">
      <c r="A1520" s="72"/>
      <c r="B1520" s="74"/>
      <c r="C1520" s="71"/>
      <c r="D1520" s="71"/>
      <c r="E1520" s="72"/>
      <c r="F1520" s="70"/>
      <c r="G1520" s="72" t="str">
        <f t="shared" ca="1" si="48"/>
        <v/>
      </c>
      <c r="H1520" s="72"/>
      <c r="I1520" s="71"/>
      <c r="L1520" s="55" t="str">
        <f t="shared" ca="1" si="49"/>
        <v>NE</v>
      </c>
    </row>
    <row r="1521" spans="1:12" ht="27" thickBot="1">
      <c r="A1521" s="72"/>
      <c r="B1521" s="74"/>
      <c r="C1521" s="71"/>
      <c r="D1521" s="71"/>
      <c r="E1521" s="72"/>
      <c r="F1521" s="70"/>
      <c r="G1521" s="72" t="str">
        <f t="shared" ca="1" si="48"/>
        <v/>
      </c>
      <c r="H1521" s="72"/>
      <c r="I1521" s="71"/>
      <c r="L1521" s="55" t="str">
        <f t="shared" ca="1" si="49"/>
        <v>NE</v>
      </c>
    </row>
    <row r="1522" spans="1:12" ht="27" thickBot="1">
      <c r="A1522" s="72"/>
      <c r="B1522" s="74"/>
      <c r="C1522" s="71"/>
      <c r="D1522" s="71"/>
      <c r="E1522" s="72"/>
      <c r="F1522" s="70"/>
      <c r="G1522" s="72" t="str">
        <f t="shared" ca="1" si="48"/>
        <v/>
      </c>
      <c r="H1522" s="72"/>
      <c r="I1522" s="71"/>
      <c r="L1522" s="55" t="str">
        <f t="shared" ca="1" si="49"/>
        <v>NE</v>
      </c>
    </row>
    <row r="1523" spans="1:12" ht="27" thickBot="1">
      <c r="A1523" s="72"/>
      <c r="B1523" s="74"/>
      <c r="C1523" s="71"/>
      <c r="D1523" s="71"/>
      <c r="E1523" s="72"/>
      <c r="F1523" s="70"/>
      <c r="G1523" s="72" t="str">
        <f t="shared" ca="1" si="48"/>
        <v/>
      </c>
      <c r="H1523" s="72"/>
      <c r="I1523" s="71"/>
      <c r="L1523" s="55" t="str">
        <f t="shared" ca="1" si="49"/>
        <v>NE</v>
      </c>
    </row>
    <row r="1524" spans="1:12" ht="27" thickBot="1">
      <c r="A1524" s="72"/>
      <c r="B1524" s="74"/>
      <c r="C1524" s="71"/>
      <c r="D1524" s="71"/>
      <c r="E1524" s="72"/>
      <c r="F1524" s="70"/>
      <c r="G1524" s="72" t="str">
        <f t="shared" ca="1" si="48"/>
        <v/>
      </c>
      <c r="H1524" s="72"/>
      <c r="I1524" s="71"/>
      <c r="L1524" s="55" t="str">
        <f t="shared" ca="1" si="49"/>
        <v>NE</v>
      </c>
    </row>
    <row r="1525" spans="1:12" ht="27" thickBot="1">
      <c r="A1525" s="72"/>
      <c r="B1525" s="74"/>
      <c r="C1525" s="71"/>
      <c r="D1525" s="71"/>
      <c r="E1525" s="72"/>
      <c r="F1525" s="70"/>
      <c r="G1525" s="72" t="str">
        <f t="shared" ca="1" si="48"/>
        <v/>
      </c>
      <c r="H1525" s="72"/>
      <c r="I1525" s="71"/>
      <c r="L1525" s="55" t="str">
        <f t="shared" ca="1" si="49"/>
        <v>NE</v>
      </c>
    </row>
    <row r="1526" spans="1:12" ht="27" thickBot="1">
      <c r="A1526" s="72"/>
      <c r="B1526" s="74"/>
      <c r="C1526" s="71"/>
      <c r="D1526" s="71"/>
      <c r="E1526" s="72"/>
      <c r="F1526" s="70"/>
      <c r="G1526" s="72" t="str">
        <f t="shared" ca="1" si="48"/>
        <v/>
      </c>
      <c r="H1526" s="72"/>
      <c r="I1526" s="71"/>
      <c r="L1526" s="55" t="str">
        <f t="shared" ca="1" si="49"/>
        <v>NE</v>
      </c>
    </row>
    <row r="1527" spans="1:12" ht="27" thickBot="1">
      <c r="A1527" s="72"/>
      <c r="B1527" s="74"/>
      <c r="C1527" s="71"/>
      <c r="D1527" s="71"/>
      <c r="E1527" s="72"/>
      <c r="F1527" s="70"/>
      <c r="G1527" s="72" t="str">
        <f t="shared" ca="1" si="48"/>
        <v/>
      </c>
      <c r="H1527" s="72"/>
      <c r="I1527" s="71"/>
      <c r="L1527" s="55" t="str">
        <f t="shared" ca="1" si="49"/>
        <v>NE</v>
      </c>
    </row>
    <row r="1528" spans="1:12" ht="27" thickBot="1">
      <c r="A1528" s="72"/>
      <c r="B1528" s="74"/>
      <c r="C1528" s="71"/>
      <c r="D1528" s="71"/>
      <c r="E1528" s="72"/>
      <c r="F1528" s="70"/>
      <c r="G1528" s="72" t="str">
        <f t="shared" ca="1" si="48"/>
        <v/>
      </c>
      <c r="H1528" s="72"/>
      <c r="I1528" s="71"/>
      <c r="L1528" s="55" t="str">
        <f t="shared" ca="1" si="49"/>
        <v>NE</v>
      </c>
    </row>
    <row r="1529" spans="1:12" ht="27" thickBot="1">
      <c r="A1529" s="72"/>
      <c r="B1529" s="74"/>
      <c r="C1529" s="71"/>
      <c r="D1529" s="71"/>
      <c r="E1529" s="72"/>
      <c r="F1529" s="70"/>
      <c r="G1529" s="72" t="str">
        <f t="shared" ca="1" si="48"/>
        <v/>
      </c>
      <c r="H1529" s="72"/>
      <c r="I1529" s="71"/>
      <c r="L1529" s="55" t="str">
        <f t="shared" ca="1" si="49"/>
        <v>NE</v>
      </c>
    </row>
    <row r="1530" spans="1:12" ht="27" thickBot="1">
      <c r="A1530" s="72"/>
      <c r="B1530" s="74"/>
      <c r="C1530" s="71"/>
      <c r="D1530" s="71"/>
      <c r="E1530" s="72"/>
      <c r="F1530" s="70"/>
      <c r="G1530" s="72" t="str">
        <f t="shared" ca="1" si="48"/>
        <v/>
      </c>
      <c r="H1530" s="72"/>
      <c r="I1530" s="71"/>
      <c r="L1530" s="55" t="str">
        <f t="shared" ca="1" si="49"/>
        <v>NE</v>
      </c>
    </row>
    <row r="1531" spans="1:12" ht="27" thickBot="1">
      <c r="A1531" s="72"/>
      <c r="B1531" s="74"/>
      <c r="C1531" s="71"/>
      <c r="D1531" s="71"/>
      <c r="E1531" s="72"/>
      <c r="F1531" s="70"/>
      <c r="G1531" s="72" t="str">
        <f t="shared" ca="1" si="48"/>
        <v/>
      </c>
      <c r="H1531" s="72"/>
      <c r="I1531" s="71"/>
      <c r="L1531" s="55" t="str">
        <f t="shared" ca="1" si="49"/>
        <v>NE</v>
      </c>
    </row>
    <row r="1532" spans="1:12" ht="27" thickBot="1">
      <c r="A1532" s="72"/>
      <c r="B1532" s="74"/>
      <c r="C1532" s="71"/>
      <c r="D1532" s="71"/>
      <c r="E1532" s="72"/>
      <c r="F1532" s="70"/>
      <c r="G1532" s="72" t="str">
        <f t="shared" ca="1" si="48"/>
        <v/>
      </c>
      <c r="H1532" s="72"/>
      <c r="I1532" s="71"/>
      <c r="L1532" s="55" t="str">
        <f t="shared" ca="1" si="49"/>
        <v>NE</v>
      </c>
    </row>
    <row r="1533" spans="1:12" ht="27" thickBot="1">
      <c r="A1533" s="72"/>
      <c r="B1533" s="74"/>
      <c r="C1533" s="71"/>
      <c r="D1533" s="71"/>
      <c r="E1533" s="72"/>
      <c r="F1533" s="70"/>
      <c r="G1533" s="72" t="str">
        <f t="shared" ca="1" si="48"/>
        <v/>
      </c>
      <c r="H1533" s="72"/>
      <c r="I1533" s="71"/>
      <c r="L1533" s="55" t="str">
        <f t="shared" ca="1" si="49"/>
        <v>NE</v>
      </c>
    </row>
    <row r="1534" spans="1:12" ht="27" thickBot="1">
      <c r="A1534" s="72"/>
      <c r="B1534" s="74"/>
      <c r="C1534" s="71"/>
      <c r="D1534" s="71"/>
      <c r="E1534" s="72"/>
      <c r="F1534" s="70"/>
      <c r="G1534" s="72" t="str">
        <f t="shared" ca="1" si="48"/>
        <v/>
      </c>
      <c r="H1534" s="72"/>
      <c r="I1534" s="71"/>
      <c r="L1534" s="55" t="str">
        <f t="shared" ca="1" si="49"/>
        <v>NE</v>
      </c>
    </row>
    <row r="1535" spans="1:12" ht="27" thickBot="1">
      <c r="A1535" s="72"/>
      <c r="B1535" s="74"/>
      <c r="C1535" s="71"/>
      <c r="D1535" s="71"/>
      <c r="E1535" s="72"/>
      <c r="F1535" s="70"/>
      <c r="G1535" s="72" t="str">
        <f t="shared" ca="1" si="48"/>
        <v/>
      </c>
      <c r="H1535" s="72"/>
      <c r="I1535" s="71"/>
      <c r="L1535" s="55" t="str">
        <f t="shared" ca="1" si="49"/>
        <v>NE</v>
      </c>
    </row>
    <row r="1536" spans="1:12" ht="27" thickBot="1">
      <c r="A1536" s="72"/>
      <c r="B1536" s="74"/>
      <c r="C1536" s="71"/>
      <c r="D1536" s="71"/>
      <c r="E1536" s="72"/>
      <c r="F1536" s="70"/>
      <c r="G1536" s="72" t="str">
        <f t="shared" ca="1" si="48"/>
        <v/>
      </c>
      <c r="H1536" s="72"/>
      <c r="I1536" s="71"/>
      <c r="L1536" s="55" t="str">
        <f t="shared" ca="1" si="49"/>
        <v>NE</v>
      </c>
    </row>
    <row r="1537" spans="1:12" ht="27" thickBot="1">
      <c r="A1537" s="72"/>
      <c r="B1537" s="74"/>
      <c r="C1537" s="71"/>
      <c r="D1537" s="71"/>
      <c r="E1537" s="72"/>
      <c r="F1537" s="70"/>
      <c r="G1537" s="72" t="str">
        <f t="shared" ca="1" si="48"/>
        <v/>
      </c>
      <c r="H1537" s="72"/>
      <c r="I1537" s="71"/>
      <c r="L1537" s="55" t="str">
        <f t="shared" ca="1" si="49"/>
        <v>NE</v>
      </c>
    </row>
    <row r="1538" spans="1:12" ht="27" thickBot="1">
      <c r="A1538" s="72"/>
      <c r="B1538" s="74"/>
      <c r="C1538" s="71"/>
      <c r="D1538" s="71"/>
      <c r="E1538" s="72"/>
      <c r="F1538" s="70"/>
      <c r="G1538" s="72" t="str">
        <f t="shared" ca="1" si="48"/>
        <v/>
      </c>
      <c r="H1538" s="72"/>
      <c r="I1538" s="71"/>
      <c r="L1538" s="55" t="str">
        <f t="shared" ca="1" si="49"/>
        <v>NE</v>
      </c>
    </row>
    <row r="1539" spans="1:12" ht="27" thickBot="1">
      <c r="A1539" s="72"/>
      <c r="B1539" s="74"/>
      <c r="C1539" s="71"/>
      <c r="D1539" s="71"/>
      <c r="E1539" s="72"/>
      <c r="F1539" s="70"/>
      <c r="G1539" s="72" t="str">
        <f t="shared" ca="1" si="48"/>
        <v/>
      </c>
      <c r="H1539" s="72"/>
      <c r="I1539" s="71"/>
      <c r="L1539" s="55" t="str">
        <f t="shared" ca="1" si="49"/>
        <v>NE</v>
      </c>
    </row>
    <row r="1540" spans="1:12" ht="27" thickBot="1">
      <c r="A1540" s="72"/>
      <c r="B1540" s="74"/>
      <c r="C1540" s="71"/>
      <c r="D1540" s="71"/>
      <c r="E1540" s="72"/>
      <c r="F1540" s="70"/>
      <c r="G1540" s="72" t="str">
        <f t="shared" ca="1" si="48"/>
        <v/>
      </c>
      <c r="H1540" s="72"/>
      <c r="I1540" s="71"/>
      <c r="L1540" s="55" t="str">
        <f t="shared" ca="1" si="49"/>
        <v>NE</v>
      </c>
    </row>
    <row r="1541" spans="1:12" ht="27" thickBot="1">
      <c r="A1541" s="72"/>
      <c r="B1541" s="74"/>
      <c r="C1541" s="71"/>
      <c r="D1541" s="71"/>
      <c r="E1541" s="72"/>
      <c r="F1541" s="70"/>
      <c r="G1541" s="72" t="str">
        <f t="shared" ca="1" si="48"/>
        <v/>
      </c>
      <c r="H1541" s="72"/>
      <c r="I1541" s="71"/>
      <c r="L1541" s="55" t="str">
        <f t="shared" ca="1" si="49"/>
        <v>NE</v>
      </c>
    </row>
    <row r="1542" spans="1:12" ht="27" thickBot="1">
      <c r="A1542" s="72"/>
      <c r="B1542" s="74"/>
      <c r="C1542" s="71"/>
      <c r="D1542" s="71"/>
      <c r="E1542" s="72"/>
      <c r="F1542" s="70"/>
      <c r="G1542" s="72" t="str">
        <f t="shared" ca="1" si="48"/>
        <v/>
      </c>
      <c r="H1542" s="72"/>
      <c r="I1542" s="71"/>
      <c r="L1542" s="55" t="str">
        <f t="shared" ca="1" si="49"/>
        <v>NE</v>
      </c>
    </row>
    <row r="1543" spans="1:12" ht="27" thickBot="1">
      <c r="A1543" s="72"/>
      <c r="B1543" s="74"/>
      <c r="C1543" s="71"/>
      <c r="D1543" s="71"/>
      <c r="E1543" s="72"/>
      <c r="F1543" s="70"/>
      <c r="G1543" s="72" t="str">
        <f t="shared" ca="1" si="48"/>
        <v/>
      </c>
      <c r="H1543" s="72"/>
      <c r="I1543" s="71"/>
      <c r="L1543" s="55" t="str">
        <f t="shared" ca="1" si="49"/>
        <v>NE</v>
      </c>
    </row>
    <row r="1544" spans="1:12" ht="27" thickBot="1">
      <c r="A1544" s="72"/>
      <c r="B1544" s="74"/>
      <c r="C1544" s="71"/>
      <c r="D1544" s="71"/>
      <c r="E1544" s="72"/>
      <c r="F1544" s="70"/>
      <c r="G1544" s="72" t="str">
        <f t="shared" ca="1" si="48"/>
        <v/>
      </c>
      <c r="H1544" s="72"/>
      <c r="I1544" s="71"/>
      <c r="L1544" s="55" t="str">
        <f t="shared" ca="1" si="49"/>
        <v>NE</v>
      </c>
    </row>
    <row r="1545" spans="1:12" ht="27" thickBot="1">
      <c r="A1545" s="72"/>
      <c r="B1545" s="74"/>
      <c r="C1545" s="71"/>
      <c r="D1545" s="71"/>
      <c r="E1545" s="72"/>
      <c r="F1545" s="70"/>
      <c r="G1545" s="72" t="str">
        <f t="shared" ca="1" si="48"/>
        <v/>
      </c>
      <c r="H1545" s="72"/>
      <c r="I1545" s="71"/>
      <c r="L1545" s="55" t="str">
        <f t="shared" ca="1" si="49"/>
        <v>NE</v>
      </c>
    </row>
    <row r="1546" spans="1:12" ht="27" thickBot="1">
      <c r="A1546" s="72"/>
      <c r="B1546" s="74"/>
      <c r="C1546" s="71"/>
      <c r="D1546" s="71"/>
      <c r="E1546" s="72"/>
      <c r="F1546" s="70"/>
      <c r="G1546" s="72" t="str">
        <f t="shared" ca="1" si="48"/>
        <v/>
      </c>
      <c r="H1546" s="72"/>
      <c r="I1546" s="71"/>
      <c r="L1546" s="55" t="str">
        <f t="shared" ca="1" si="49"/>
        <v>NE</v>
      </c>
    </row>
    <row r="1547" spans="1:12" ht="27" thickBot="1">
      <c r="A1547" s="72"/>
      <c r="B1547" s="74"/>
      <c r="C1547" s="71"/>
      <c r="D1547" s="71"/>
      <c r="E1547" s="72"/>
      <c r="F1547" s="70"/>
      <c r="G1547" s="72" t="str">
        <f t="shared" ca="1" si="48"/>
        <v/>
      </c>
      <c r="H1547" s="72"/>
      <c r="I1547" s="71"/>
      <c r="L1547" s="55" t="str">
        <f t="shared" ca="1" si="49"/>
        <v>NE</v>
      </c>
    </row>
    <row r="1548" spans="1:12" ht="27" thickBot="1">
      <c r="A1548" s="72"/>
      <c r="B1548" s="74"/>
      <c r="C1548" s="71"/>
      <c r="D1548" s="71"/>
      <c r="E1548" s="72"/>
      <c r="F1548" s="70"/>
      <c r="G1548" s="72" t="str">
        <f t="shared" ca="1" si="48"/>
        <v/>
      </c>
      <c r="H1548" s="72"/>
      <c r="I1548" s="71"/>
      <c r="L1548" s="55" t="str">
        <f t="shared" ca="1" si="49"/>
        <v>NE</v>
      </c>
    </row>
    <row r="1549" spans="1:12" ht="27" thickBot="1">
      <c r="A1549" s="72"/>
      <c r="B1549" s="74"/>
      <c r="C1549" s="71"/>
      <c r="D1549" s="71"/>
      <c r="E1549" s="72"/>
      <c r="F1549" s="70"/>
      <c r="G1549" s="72" t="str">
        <f t="shared" ca="1" si="48"/>
        <v/>
      </c>
      <c r="H1549" s="72"/>
      <c r="I1549" s="71"/>
      <c r="L1549" s="55" t="str">
        <f t="shared" ca="1" si="49"/>
        <v>NE</v>
      </c>
    </row>
    <row r="1550" spans="1:12" ht="27" thickBot="1">
      <c r="A1550" s="72"/>
      <c r="B1550" s="74"/>
      <c r="C1550" s="71"/>
      <c r="D1550" s="71"/>
      <c r="E1550" s="72"/>
      <c r="F1550" s="70"/>
      <c r="G1550" s="72" t="str">
        <f t="shared" ca="1" si="48"/>
        <v/>
      </c>
      <c r="H1550" s="72"/>
      <c r="I1550" s="71"/>
      <c r="L1550" s="55" t="str">
        <f t="shared" ca="1" si="49"/>
        <v>NE</v>
      </c>
    </row>
    <row r="1551" spans="1:12" ht="27" thickBot="1">
      <c r="A1551" s="72"/>
      <c r="B1551" s="74"/>
      <c r="C1551" s="71"/>
      <c r="D1551" s="71"/>
      <c r="E1551" s="72"/>
      <c r="F1551" s="70"/>
      <c r="G1551" s="72" t="str">
        <f t="shared" ca="1" si="48"/>
        <v/>
      </c>
      <c r="H1551" s="72"/>
      <c r="I1551" s="71"/>
      <c r="L1551" s="55" t="str">
        <f t="shared" ca="1" si="49"/>
        <v>NE</v>
      </c>
    </row>
    <row r="1552" spans="1:12" ht="27" thickBot="1">
      <c r="A1552" s="72"/>
      <c r="B1552" s="74"/>
      <c r="C1552" s="71"/>
      <c r="D1552" s="71"/>
      <c r="E1552" s="72"/>
      <c r="F1552" s="70"/>
      <c r="G1552" s="72" t="str">
        <f t="shared" ca="1" si="48"/>
        <v/>
      </c>
      <c r="H1552" s="72"/>
      <c r="I1552" s="71"/>
      <c r="L1552" s="55" t="str">
        <f t="shared" ca="1" si="49"/>
        <v>NE</v>
      </c>
    </row>
    <row r="1553" spans="1:12" ht="27" thickBot="1">
      <c r="A1553" s="72"/>
      <c r="B1553" s="74"/>
      <c r="C1553" s="71"/>
      <c r="D1553" s="71"/>
      <c r="E1553" s="72"/>
      <c r="F1553" s="70"/>
      <c r="G1553" s="72" t="str">
        <f t="shared" ca="1" si="48"/>
        <v/>
      </c>
      <c r="H1553" s="72"/>
      <c r="I1553" s="71"/>
      <c r="L1553" s="55" t="str">
        <f t="shared" ca="1" si="49"/>
        <v>NE</v>
      </c>
    </row>
    <row r="1554" spans="1:12" ht="27" thickBot="1">
      <c r="A1554" s="72"/>
      <c r="B1554" s="74"/>
      <c r="C1554" s="71"/>
      <c r="D1554" s="71"/>
      <c r="E1554" s="72"/>
      <c r="F1554" s="70"/>
      <c r="G1554" s="72" t="str">
        <f t="shared" ca="1" si="48"/>
        <v/>
      </c>
      <c r="H1554" s="72"/>
      <c r="I1554" s="71"/>
      <c r="L1554" s="55" t="str">
        <f t="shared" ca="1" si="49"/>
        <v>NE</v>
      </c>
    </row>
    <row r="1555" spans="1:12" ht="27" thickBot="1">
      <c r="A1555" s="72"/>
      <c r="B1555" s="74"/>
      <c r="C1555" s="71"/>
      <c r="D1555" s="71"/>
      <c r="E1555" s="72"/>
      <c r="F1555" s="70"/>
      <c r="G1555" s="72" t="str">
        <f t="shared" ca="1" si="48"/>
        <v/>
      </c>
      <c r="H1555" s="72"/>
      <c r="I1555" s="71"/>
      <c r="L1555" s="55" t="str">
        <f t="shared" ca="1" si="49"/>
        <v>NE</v>
      </c>
    </row>
    <row r="1556" spans="1:12" ht="27" thickBot="1">
      <c r="A1556" s="72"/>
      <c r="B1556" s="74"/>
      <c r="C1556" s="71"/>
      <c r="D1556" s="71"/>
      <c r="E1556" s="72"/>
      <c r="F1556" s="70"/>
      <c r="G1556" s="72" t="str">
        <f t="shared" ca="1" si="48"/>
        <v/>
      </c>
      <c r="H1556" s="72"/>
      <c r="I1556" s="71"/>
      <c r="L1556" s="55" t="str">
        <f t="shared" ca="1" si="49"/>
        <v>NE</v>
      </c>
    </row>
    <row r="1557" spans="1:12" ht="27" thickBot="1">
      <c r="A1557" s="72"/>
      <c r="B1557" s="74"/>
      <c r="C1557" s="71"/>
      <c r="D1557" s="71"/>
      <c r="E1557" s="72"/>
      <c r="F1557" s="70"/>
      <c r="G1557" s="72" t="str">
        <f t="shared" ca="1" si="48"/>
        <v/>
      </c>
      <c r="H1557" s="72"/>
      <c r="I1557" s="71"/>
      <c r="L1557" s="55" t="str">
        <f t="shared" ca="1" si="49"/>
        <v>NE</v>
      </c>
    </row>
    <row r="1558" spans="1:12" ht="27" thickBot="1">
      <c r="A1558" s="72"/>
      <c r="B1558" s="74"/>
      <c r="C1558" s="71"/>
      <c r="D1558" s="71"/>
      <c r="E1558" s="72"/>
      <c r="F1558" s="70"/>
      <c r="G1558" s="72" t="str">
        <f t="shared" ca="1" si="48"/>
        <v/>
      </c>
      <c r="H1558" s="72"/>
      <c r="I1558" s="71"/>
      <c r="L1558" s="55" t="str">
        <f t="shared" ca="1" si="49"/>
        <v>NE</v>
      </c>
    </row>
    <row r="1559" spans="1:12" ht="27" thickBot="1">
      <c r="A1559" s="72"/>
      <c r="B1559" s="74"/>
      <c r="C1559" s="71"/>
      <c r="D1559" s="71"/>
      <c r="E1559" s="72"/>
      <c r="F1559" s="70"/>
      <c r="G1559" s="72" t="str">
        <f t="shared" ca="1" si="48"/>
        <v/>
      </c>
      <c r="H1559" s="72"/>
      <c r="I1559" s="71"/>
      <c r="L1559" s="55" t="str">
        <f t="shared" ca="1" si="49"/>
        <v>NE</v>
      </c>
    </row>
    <row r="1560" spans="1:12" ht="27" thickBot="1">
      <c r="A1560" s="72"/>
      <c r="B1560" s="74"/>
      <c r="C1560" s="71"/>
      <c r="D1560" s="71"/>
      <c r="E1560" s="72"/>
      <c r="F1560" s="70"/>
      <c r="G1560" s="72" t="str">
        <f t="shared" ca="1" si="48"/>
        <v/>
      </c>
      <c r="H1560" s="72"/>
      <c r="I1560" s="71"/>
      <c r="L1560" s="55" t="str">
        <f t="shared" ca="1" si="49"/>
        <v>NE</v>
      </c>
    </row>
    <row r="1561" spans="1:12" ht="27" thickBot="1">
      <c r="A1561" s="72"/>
      <c r="B1561" s="74"/>
      <c r="C1561" s="71"/>
      <c r="D1561" s="71"/>
      <c r="E1561" s="72"/>
      <c r="F1561" s="70"/>
      <c r="G1561" s="72" t="str">
        <f t="shared" ca="1" si="48"/>
        <v/>
      </c>
      <c r="H1561" s="72"/>
      <c r="I1561" s="71"/>
      <c r="L1561" s="55" t="str">
        <f t="shared" ca="1" si="49"/>
        <v>NE</v>
      </c>
    </row>
    <row r="1562" spans="1:12" ht="27" thickBot="1">
      <c r="A1562" s="72"/>
      <c r="B1562" s="74"/>
      <c r="C1562" s="71"/>
      <c r="D1562" s="71"/>
      <c r="E1562" s="72"/>
      <c r="F1562" s="70"/>
      <c r="G1562" s="72" t="str">
        <f t="shared" ca="1" si="48"/>
        <v/>
      </c>
      <c r="H1562" s="72"/>
      <c r="I1562" s="71"/>
      <c r="L1562" s="55" t="str">
        <f t="shared" ca="1" si="49"/>
        <v>NE</v>
      </c>
    </row>
    <row r="1563" spans="1:12" ht="27" thickBot="1">
      <c r="A1563" s="72"/>
      <c r="B1563" s="74"/>
      <c r="C1563" s="71"/>
      <c r="D1563" s="71"/>
      <c r="E1563" s="72"/>
      <c r="F1563" s="70"/>
      <c r="G1563" s="72" t="str">
        <f t="shared" ca="1" si="48"/>
        <v/>
      </c>
      <c r="H1563" s="72"/>
      <c r="I1563" s="71"/>
      <c r="L1563" s="55" t="str">
        <f t="shared" ca="1" si="49"/>
        <v>NE</v>
      </c>
    </row>
    <row r="1564" spans="1:12" ht="27" thickBot="1">
      <c r="A1564" s="72"/>
      <c r="B1564" s="74"/>
      <c r="C1564" s="71"/>
      <c r="D1564" s="71"/>
      <c r="E1564" s="72"/>
      <c r="F1564" s="70"/>
      <c r="G1564" s="72" t="str">
        <f t="shared" ca="1" si="48"/>
        <v/>
      </c>
      <c r="H1564" s="72"/>
      <c r="I1564" s="71"/>
      <c r="L1564" s="55" t="str">
        <f t="shared" ca="1" si="49"/>
        <v>NE</v>
      </c>
    </row>
    <row r="1565" spans="1:12" ht="27" thickBot="1">
      <c r="A1565" s="72"/>
      <c r="B1565" s="74"/>
      <c r="C1565" s="71"/>
      <c r="D1565" s="71"/>
      <c r="E1565" s="72"/>
      <c r="F1565" s="70"/>
      <c r="G1565" s="72" t="str">
        <f t="shared" ca="1" si="48"/>
        <v/>
      </c>
      <c r="H1565" s="72"/>
      <c r="I1565" s="71"/>
      <c r="L1565" s="55" t="str">
        <f t="shared" ca="1" si="49"/>
        <v>NE</v>
      </c>
    </row>
    <row r="1566" spans="1:12" ht="27" thickBot="1">
      <c r="A1566" s="72"/>
      <c r="B1566" s="74"/>
      <c r="C1566" s="71"/>
      <c r="D1566" s="71"/>
      <c r="E1566" s="72"/>
      <c r="F1566" s="70"/>
      <c r="G1566" s="72" t="str">
        <f t="shared" ca="1" si="48"/>
        <v/>
      </c>
      <c r="H1566" s="72"/>
      <c r="I1566" s="71"/>
      <c r="L1566" s="55" t="str">
        <f t="shared" ca="1" si="49"/>
        <v>NE</v>
      </c>
    </row>
    <row r="1567" spans="1:12" ht="27" thickBot="1">
      <c r="A1567" s="72"/>
      <c r="B1567" s="74"/>
      <c r="C1567" s="71"/>
      <c r="D1567" s="71"/>
      <c r="E1567" s="72"/>
      <c r="F1567" s="70"/>
      <c r="G1567" s="72" t="str">
        <f t="shared" ca="1" si="48"/>
        <v/>
      </c>
      <c r="H1567" s="72"/>
      <c r="I1567" s="71"/>
      <c r="L1567" s="55" t="str">
        <f t="shared" ca="1" si="49"/>
        <v>NE</v>
      </c>
    </row>
    <row r="1568" spans="1:12" ht="27" thickBot="1">
      <c r="A1568" s="72"/>
      <c r="B1568" s="74"/>
      <c r="C1568" s="71"/>
      <c r="D1568" s="71"/>
      <c r="E1568" s="72"/>
      <c r="F1568" s="70"/>
      <c r="G1568" s="72" t="str">
        <f t="shared" ca="1" si="48"/>
        <v/>
      </c>
      <c r="H1568" s="72"/>
      <c r="I1568" s="71"/>
      <c r="L1568" s="55" t="str">
        <f t="shared" ca="1" si="49"/>
        <v>NE</v>
      </c>
    </row>
    <row r="1569" spans="1:12" ht="27" thickBot="1">
      <c r="A1569" s="72"/>
      <c r="B1569" s="74"/>
      <c r="C1569" s="71"/>
      <c r="D1569" s="71"/>
      <c r="E1569" s="72"/>
      <c r="F1569" s="70"/>
      <c r="G1569" s="72" t="str">
        <f t="shared" ca="1" si="48"/>
        <v/>
      </c>
      <c r="H1569" s="72"/>
      <c r="I1569" s="71"/>
      <c r="L1569" s="55" t="str">
        <f t="shared" ca="1" si="49"/>
        <v>NE</v>
      </c>
    </row>
    <row r="1570" spans="1:12" ht="27" thickBot="1">
      <c r="A1570" s="72"/>
      <c r="B1570" s="74"/>
      <c r="C1570" s="71"/>
      <c r="D1570" s="71"/>
      <c r="E1570" s="72"/>
      <c r="F1570" s="70"/>
      <c r="G1570" s="72" t="str">
        <f t="shared" ca="1" si="48"/>
        <v/>
      </c>
      <c r="H1570" s="72"/>
      <c r="I1570" s="71"/>
      <c r="L1570" s="55" t="str">
        <f t="shared" ca="1" si="49"/>
        <v>NE</v>
      </c>
    </row>
    <row r="1571" spans="1:12" ht="27" thickBot="1">
      <c r="A1571" s="72"/>
      <c r="B1571" s="74"/>
      <c r="C1571" s="71"/>
      <c r="D1571" s="71"/>
      <c r="E1571" s="72"/>
      <c r="F1571" s="70"/>
      <c r="G1571" s="72" t="str">
        <f t="shared" ca="1" si="48"/>
        <v/>
      </c>
      <c r="H1571" s="72"/>
      <c r="I1571" s="71"/>
      <c r="L1571" s="55" t="str">
        <f t="shared" ca="1" si="49"/>
        <v>NE</v>
      </c>
    </row>
    <row r="1572" spans="1:12" ht="27" thickBot="1">
      <c r="A1572" s="72"/>
      <c r="B1572" s="74"/>
      <c r="C1572" s="71"/>
      <c r="D1572" s="71"/>
      <c r="E1572" s="72"/>
      <c r="F1572" s="70"/>
      <c r="G1572" s="72" t="str">
        <f t="shared" ca="1" si="48"/>
        <v/>
      </c>
      <c r="H1572" s="72"/>
      <c r="I1572" s="71"/>
      <c r="L1572" s="55" t="str">
        <f t="shared" ca="1" si="49"/>
        <v>NE</v>
      </c>
    </row>
    <row r="1573" spans="1:12" ht="27" thickBot="1">
      <c r="A1573" s="72"/>
      <c r="B1573" s="74"/>
      <c r="C1573" s="71"/>
      <c r="D1573" s="71"/>
      <c r="E1573" s="72"/>
      <c r="F1573" s="70"/>
      <c r="G1573" s="72" t="str">
        <f t="shared" ca="1" si="48"/>
        <v/>
      </c>
      <c r="H1573" s="72"/>
      <c r="I1573" s="71"/>
      <c r="L1573" s="55" t="str">
        <f t="shared" ca="1" si="49"/>
        <v>NE</v>
      </c>
    </row>
    <row r="1574" spans="1:12" ht="27" thickBot="1">
      <c r="A1574" s="72"/>
      <c r="B1574" s="74"/>
      <c r="C1574" s="71"/>
      <c r="D1574" s="71"/>
      <c r="E1574" s="72"/>
      <c r="F1574" s="70"/>
      <c r="G1574" s="72" t="str">
        <f t="shared" ca="1" si="48"/>
        <v/>
      </c>
      <c r="H1574" s="72"/>
      <c r="I1574" s="71"/>
      <c r="L1574" s="55" t="str">
        <f t="shared" ca="1" si="49"/>
        <v>NE</v>
      </c>
    </row>
    <row r="1575" spans="1:12" ht="27" thickBot="1">
      <c r="A1575" s="72"/>
      <c r="B1575" s="74"/>
      <c r="C1575" s="71"/>
      <c r="D1575" s="71"/>
      <c r="E1575" s="72"/>
      <c r="F1575" s="70"/>
      <c r="G1575" s="72" t="str">
        <f t="shared" ca="1" si="48"/>
        <v/>
      </c>
      <c r="H1575" s="72"/>
      <c r="I1575" s="71"/>
      <c r="L1575" s="55" t="str">
        <f t="shared" ca="1" si="49"/>
        <v>NE</v>
      </c>
    </row>
    <row r="1576" spans="1:12" ht="27" thickBot="1">
      <c r="A1576" s="72"/>
      <c r="B1576" s="74"/>
      <c r="C1576" s="71"/>
      <c r="D1576" s="71"/>
      <c r="E1576" s="72"/>
      <c r="F1576" s="70"/>
      <c r="G1576" s="72" t="str">
        <f t="shared" ca="1" si="48"/>
        <v/>
      </c>
      <c r="H1576" s="72"/>
      <c r="I1576" s="71"/>
      <c r="L1576" s="55" t="str">
        <f t="shared" ca="1" si="49"/>
        <v>NE</v>
      </c>
    </row>
    <row r="1577" spans="1:12" ht="27" thickBot="1">
      <c r="A1577" s="72"/>
      <c r="B1577" s="74"/>
      <c r="C1577" s="71"/>
      <c r="D1577" s="71"/>
      <c r="E1577" s="72"/>
      <c r="F1577" s="70"/>
      <c r="G1577" s="72" t="str">
        <f t="shared" ca="1" si="48"/>
        <v/>
      </c>
      <c r="H1577" s="72"/>
      <c r="I1577" s="71"/>
      <c r="L1577" s="55" t="str">
        <f t="shared" ca="1" si="49"/>
        <v>NE</v>
      </c>
    </row>
    <row r="1578" spans="1:12" ht="27" thickBot="1">
      <c r="A1578" s="72"/>
      <c r="B1578" s="74"/>
      <c r="C1578" s="71"/>
      <c r="D1578" s="71"/>
      <c r="E1578" s="72"/>
      <c r="F1578" s="70"/>
      <c r="G1578" s="72" t="str">
        <f t="shared" ca="1" si="48"/>
        <v/>
      </c>
      <c r="H1578" s="72"/>
      <c r="I1578" s="71"/>
      <c r="L1578" s="55" t="str">
        <f t="shared" ca="1" si="49"/>
        <v>NE</v>
      </c>
    </row>
    <row r="1579" spans="1:12" ht="27" thickBot="1">
      <c r="A1579" s="72"/>
      <c r="B1579" s="74"/>
      <c r="C1579" s="71"/>
      <c r="D1579" s="71"/>
      <c r="E1579" s="72"/>
      <c r="F1579" s="70"/>
      <c r="G1579" s="72" t="str">
        <f t="shared" ca="1" si="48"/>
        <v/>
      </c>
      <c r="H1579" s="72"/>
      <c r="I1579" s="71"/>
      <c r="L1579" s="55" t="str">
        <f t="shared" ca="1" si="49"/>
        <v>NE</v>
      </c>
    </row>
    <row r="1580" spans="1:12" ht="27" thickBot="1">
      <c r="A1580" s="72"/>
      <c r="B1580" s="74"/>
      <c r="C1580" s="71"/>
      <c r="D1580" s="71"/>
      <c r="E1580" s="72"/>
      <c r="F1580" s="70"/>
      <c r="G1580" s="72" t="str">
        <f t="shared" ca="1" si="48"/>
        <v/>
      </c>
      <c r="H1580" s="72"/>
      <c r="I1580" s="71"/>
      <c r="L1580" s="55" t="str">
        <f t="shared" ca="1" si="49"/>
        <v>NE</v>
      </c>
    </row>
    <row r="1581" spans="1:12" ht="27" thickBot="1">
      <c r="A1581" s="72"/>
      <c r="B1581" s="74"/>
      <c r="C1581" s="71"/>
      <c r="D1581" s="71"/>
      <c r="E1581" s="72"/>
      <c r="F1581" s="70"/>
      <c r="G1581" s="72" t="str">
        <f t="shared" ca="1" si="48"/>
        <v/>
      </c>
      <c r="H1581" s="72"/>
      <c r="I1581" s="71"/>
      <c r="L1581" s="55" t="str">
        <f t="shared" ca="1" si="49"/>
        <v>NE</v>
      </c>
    </row>
    <row r="1582" spans="1:12" ht="27" thickBot="1">
      <c r="A1582" s="72"/>
      <c r="B1582" s="74"/>
      <c r="C1582" s="71"/>
      <c r="D1582" s="71"/>
      <c r="E1582" s="72"/>
      <c r="F1582" s="70"/>
      <c r="G1582" s="72" t="str">
        <f t="shared" ref="G1582:G1645" ca="1" si="50">IF(ISBLANK(F1582),"",IF(F1582&gt;=TODAY(), "Non Echue", "Echue"))</f>
        <v/>
      </c>
      <c r="H1582" s="72"/>
      <c r="I1582" s="71"/>
      <c r="L1582" s="55" t="str">
        <f t="shared" ref="L1582:L1645" ca="1" si="51" xml:space="preserve"> IF(G1582 = "Echue",IF(H1582 = "Appliqué","EAP","NAP"),"NE")</f>
        <v>NE</v>
      </c>
    </row>
    <row r="1583" spans="1:12" ht="27" thickBot="1">
      <c r="A1583" s="72"/>
      <c r="B1583" s="74"/>
      <c r="C1583" s="71"/>
      <c r="D1583" s="71"/>
      <c r="E1583" s="72"/>
      <c r="F1583" s="70"/>
      <c r="G1583" s="72" t="str">
        <f t="shared" ca="1" si="50"/>
        <v/>
      </c>
      <c r="H1583" s="72"/>
      <c r="I1583" s="71"/>
      <c r="L1583" s="55" t="str">
        <f t="shared" ca="1" si="51"/>
        <v>NE</v>
      </c>
    </row>
    <row r="1584" spans="1:12" ht="27" thickBot="1">
      <c r="A1584" s="72"/>
      <c r="B1584" s="74"/>
      <c r="C1584" s="71"/>
      <c r="D1584" s="71"/>
      <c r="E1584" s="72"/>
      <c r="F1584" s="70"/>
      <c r="G1584" s="72" t="str">
        <f t="shared" ca="1" si="50"/>
        <v/>
      </c>
      <c r="H1584" s="72"/>
      <c r="I1584" s="71"/>
      <c r="L1584" s="55" t="str">
        <f t="shared" ca="1" si="51"/>
        <v>NE</v>
      </c>
    </row>
    <row r="1585" spans="1:12" ht="27" thickBot="1">
      <c r="A1585" s="72"/>
      <c r="B1585" s="74"/>
      <c r="C1585" s="71"/>
      <c r="D1585" s="71"/>
      <c r="E1585" s="72"/>
      <c r="F1585" s="70"/>
      <c r="G1585" s="72" t="str">
        <f t="shared" ca="1" si="50"/>
        <v/>
      </c>
      <c r="H1585" s="72"/>
      <c r="I1585" s="71"/>
      <c r="L1585" s="55" t="str">
        <f t="shared" ca="1" si="51"/>
        <v>NE</v>
      </c>
    </row>
    <row r="1586" spans="1:12" ht="27" thickBot="1">
      <c r="A1586" s="72"/>
      <c r="B1586" s="74"/>
      <c r="C1586" s="71"/>
      <c r="D1586" s="71"/>
      <c r="E1586" s="72"/>
      <c r="F1586" s="70"/>
      <c r="G1586" s="72" t="str">
        <f t="shared" ca="1" si="50"/>
        <v/>
      </c>
      <c r="H1586" s="72"/>
      <c r="I1586" s="71"/>
      <c r="L1586" s="55" t="str">
        <f t="shared" ca="1" si="51"/>
        <v>NE</v>
      </c>
    </row>
    <row r="1587" spans="1:12" ht="27" thickBot="1">
      <c r="A1587" s="72"/>
      <c r="B1587" s="74"/>
      <c r="C1587" s="71"/>
      <c r="D1587" s="71"/>
      <c r="E1587" s="72"/>
      <c r="F1587" s="70"/>
      <c r="G1587" s="72" t="str">
        <f t="shared" ca="1" si="50"/>
        <v/>
      </c>
      <c r="H1587" s="72"/>
      <c r="I1587" s="71"/>
      <c r="L1587" s="55" t="str">
        <f t="shared" ca="1" si="51"/>
        <v>NE</v>
      </c>
    </row>
    <row r="1588" spans="1:12" ht="27" thickBot="1">
      <c r="A1588" s="72"/>
      <c r="B1588" s="74"/>
      <c r="C1588" s="71"/>
      <c r="D1588" s="71"/>
      <c r="E1588" s="72"/>
      <c r="F1588" s="70"/>
      <c r="G1588" s="72" t="str">
        <f t="shared" ca="1" si="50"/>
        <v/>
      </c>
      <c r="H1588" s="72"/>
      <c r="I1588" s="71"/>
      <c r="L1588" s="55" t="str">
        <f t="shared" ca="1" si="51"/>
        <v>NE</v>
      </c>
    </row>
    <row r="1589" spans="1:12" ht="27" thickBot="1">
      <c r="A1589" s="72"/>
      <c r="B1589" s="74"/>
      <c r="C1589" s="71"/>
      <c r="D1589" s="71"/>
      <c r="E1589" s="72"/>
      <c r="F1589" s="70"/>
      <c r="G1589" s="72" t="str">
        <f t="shared" ca="1" si="50"/>
        <v/>
      </c>
      <c r="H1589" s="72"/>
      <c r="I1589" s="71"/>
      <c r="L1589" s="55" t="str">
        <f t="shared" ca="1" si="51"/>
        <v>NE</v>
      </c>
    </row>
    <row r="1590" spans="1:12" ht="27" thickBot="1">
      <c r="A1590" s="72"/>
      <c r="B1590" s="74"/>
      <c r="C1590" s="71"/>
      <c r="D1590" s="71"/>
      <c r="E1590" s="72"/>
      <c r="F1590" s="70"/>
      <c r="G1590" s="72" t="str">
        <f t="shared" ca="1" si="50"/>
        <v/>
      </c>
      <c r="H1590" s="72"/>
      <c r="I1590" s="71"/>
      <c r="L1590" s="55" t="str">
        <f t="shared" ca="1" si="51"/>
        <v>NE</v>
      </c>
    </row>
    <row r="1591" spans="1:12" ht="27" thickBot="1">
      <c r="A1591" s="72"/>
      <c r="B1591" s="74"/>
      <c r="C1591" s="71"/>
      <c r="D1591" s="71"/>
      <c r="E1591" s="72"/>
      <c r="F1591" s="70"/>
      <c r="G1591" s="72" t="str">
        <f t="shared" ca="1" si="50"/>
        <v/>
      </c>
      <c r="H1591" s="72"/>
      <c r="I1591" s="71"/>
      <c r="L1591" s="55" t="str">
        <f t="shared" ca="1" si="51"/>
        <v>NE</v>
      </c>
    </row>
    <row r="1592" spans="1:12" ht="27" thickBot="1">
      <c r="A1592" s="72"/>
      <c r="B1592" s="74"/>
      <c r="C1592" s="71"/>
      <c r="D1592" s="71"/>
      <c r="E1592" s="72"/>
      <c r="F1592" s="70"/>
      <c r="G1592" s="72" t="str">
        <f t="shared" ca="1" si="50"/>
        <v/>
      </c>
      <c r="H1592" s="72"/>
      <c r="I1592" s="71"/>
      <c r="L1592" s="55" t="str">
        <f t="shared" ca="1" si="51"/>
        <v>NE</v>
      </c>
    </row>
    <row r="1593" spans="1:12" ht="27" thickBot="1">
      <c r="A1593" s="72"/>
      <c r="B1593" s="74"/>
      <c r="C1593" s="71"/>
      <c r="D1593" s="71"/>
      <c r="E1593" s="72"/>
      <c r="F1593" s="70"/>
      <c r="G1593" s="72" t="str">
        <f t="shared" ca="1" si="50"/>
        <v/>
      </c>
      <c r="H1593" s="72"/>
      <c r="I1593" s="71"/>
      <c r="L1593" s="55" t="str">
        <f t="shared" ca="1" si="51"/>
        <v>NE</v>
      </c>
    </row>
    <row r="1594" spans="1:12" ht="27" thickBot="1">
      <c r="A1594" s="72"/>
      <c r="B1594" s="74"/>
      <c r="C1594" s="71"/>
      <c r="D1594" s="71"/>
      <c r="E1594" s="72"/>
      <c r="F1594" s="70"/>
      <c r="G1594" s="72" t="str">
        <f t="shared" ca="1" si="50"/>
        <v/>
      </c>
      <c r="H1594" s="72"/>
      <c r="I1594" s="71"/>
      <c r="L1594" s="55" t="str">
        <f t="shared" ca="1" si="51"/>
        <v>NE</v>
      </c>
    </row>
    <row r="1595" spans="1:12" ht="27" thickBot="1">
      <c r="A1595" s="72"/>
      <c r="B1595" s="74"/>
      <c r="C1595" s="71"/>
      <c r="D1595" s="71"/>
      <c r="E1595" s="72"/>
      <c r="F1595" s="70"/>
      <c r="G1595" s="72" t="str">
        <f t="shared" ca="1" si="50"/>
        <v/>
      </c>
      <c r="H1595" s="72"/>
      <c r="I1595" s="71"/>
      <c r="L1595" s="55" t="str">
        <f t="shared" ca="1" si="51"/>
        <v>NE</v>
      </c>
    </row>
    <row r="1596" spans="1:12" ht="27" thickBot="1">
      <c r="A1596" s="72"/>
      <c r="B1596" s="74"/>
      <c r="C1596" s="71"/>
      <c r="D1596" s="71"/>
      <c r="E1596" s="72"/>
      <c r="F1596" s="70"/>
      <c r="G1596" s="72" t="str">
        <f t="shared" ca="1" si="50"/>
        <v/>
      </c>
      <c r="H1596" s="72"/>
      <c r="I1596" s="71"/>
      <c r="L1596" s="55" t="str">
        <f t="shared" ca="1" si="51"/>
        <v>NE</v>
      </c>
    </row>
    <row r="1597" spans="1:12" ht="27" thickBot="1">
      <c r="A1597" s="72"/>
      <c r="B1597" s="74"/>
      <c r="C1597" s="71"/>
      <c r="D1597" s="71"/>
      <c r="E1597" s="72"/>
      <c r="F1597" s="70"/>
      <c r="G1597" s="72" t="str">
        <f t="shared" ca="1" si="50"/>
        <v/>
      </c>
      <c r="H1597" s="72"/>
      <c r="I1597" s="71"/>
      <c r="L1597" s="55" t="str">
        <f t="shared" ca="1" si="51"/>
        <v>NE</v>
      </c>
    </row>
    <row r="1598" spans="1:12" ht="27" thickBot="1">
      <c r="A1598" s="72"/>
      <c r="B1598" s="74"/>
      <c r="C1598" s="71"/>
      <c r="D1598" s="71"/>
      <c r="E1598" s="72"/>
      <c r="F1598" s="70"/>
      <c r="G1598" s="72" t="str">
        <f t="shared" ca="1" si="50"/>
        <v/>
      </c>
      <c r="H1598" s="72"/>
      <c r="I1598" s="71"/>
      <c r="L1598" s="55" t="str">
        <f t="shared" ca="1" si="51"/>
        <v>NE</v>
      </c>
    </row>
    <row r="1599" spans="1:12" ht="27" thickBot="1">
      <c r="A1599" s="72"/>
      <c r="B1599" s="74"/>
      <c r="C1599" s="71"/>
      <c r="D1599" s="71"/>
      <c r="E1599" s="72"/>
      <c r="F1599" s="70"/>
      <c r="G1599" s="72" t="str">
        <f t="shared" ca="1" si="50"/>
        <v/>
      </c>
      <c r="H1599" s="72"/>
      <c r="I1599" s="71"/>
      <c r="L1599" s="55" t="str">
        <f t="shared" ca="1" si="51"/>
        <v>NE</v>
      </c>
    </row>
    <row r="1600" spans="1:12" ht="27" thickBot="1">
      <c r="A1600" s="72"/>
      <c r="B1600" s="74"/>
      <c r="C1600" s="71"/>
      <c r="D1600" s="71"/>
      <c r="E1600" s="72"/>
      <c r="F1600" s="70"/>
      <c r="G1600" s="72" t="str">
        <f t="shared" ca="1" si="50"/>
        <v/>
      </c>
      <c r="H1600" s="72"/>
      <c r="I1600" s="71"/>
      <c r="L1600" s="55" t="str">
        <f t="shared" ca="1" si="51"/>
        <v>NE</v>
      </c>
    </row>
    <row r="1601" spans="1:12" ht="27" thickBot="1">
      <c r="A1601" s="72"/>
      <c r="B1601" s="74"/>
      <c r="C1601" s="71"/>
      <c r="D1601" s="71"/>
      <c r="E1601" s="72"/>
      <c r="F1601" s="70"/>
      <c r="G1601" s="72" t="str">
        <f t="shared" ca="1" si="50"/>
        <v/>
      </c>
      <c r="H1601" s="72"/>
      <c r="I1601" s="71"/>
      <c r="L1601" s="55" t="str">
        <f t="shared" ca="1" si="51"/>
        <v>NE</v>
      </c>
    </row>
    <row r="1602" spans="1:12" ht="27" thickBot="1">
      <c r="A1602" s="72"/>
      <c r="B1602" s="74"/>
      <c r="C1602" s="71"/>
      <c r="D1602" s="71"/>
      <c r="E1602" s="72"/>
      <c r="F1602" s="70"/>
      <c r="G1602" s="72" t="str">
        <f t="shared" ca="1" si="50"/>
        <v/>
      </c>
      <c r="H1602" s="72"/>
      <c r="I1602" s="71"/>
      <c r="L1602" s="55" t="str">
        <f t="shared" ca="1" si="51"/>
        <v>NE</v>
      </c>
    </row>
    <row r="1603" spans="1:12" ht="27" thickBot="1">
      <c r="A1603" s="72"/>
      <c r="B1603" s="74"/>
      <c r="C1603" s="71"/>
      <c r="D1603" s="71"/>
      <c r="E1603" s="72"/>
      <c r="F1603" s="70"/>
      <c r="G1603" s="72" t="str">
        <f t="shared" ca="1" si="50"/>
        <v/>
      </c>
      <c r="H1603" s="72"/>
      <c r="I1603" s="71"/>
      <c r="L1603" s="55" t="str">
        <f t="shared" ca="1" si="51"/>
        <v>NE</v>
      </c>
    </row>
    <row r="1604" spans="1:12" ht="27" thickBot="1">
      <c r="A1604" s="72"/>
      <c r="B1604" s="74"/>
      <c r="C1604" s="71"/>
      <c r="D1604" s="71"/>
      <c r="E1604" s="72"/>
      <c r="F1604" s="70"/>
      <c r="G1604" s="72" t="str">
        <f t="shared" ca="1" si="50"/>
        <v/>
      </c>
      <c r="H1604" s="72"/>
      <c r="I1604" s="71"/>
      <c r="L1604" s="55" t="str">
        <f t="shared" ca="1" si="51"/>
        <v>NE</v>
      </c>
    </row>
    <row r="1605" spans="1:12" ht="27" thickBot="1">
      <c r="A1605" s="72"/>
      <c r="B1605" s="74"/>
      <c r="C1605" s="71"/>
      <c r="D1605" s="71"/>
      <c r="E1605" s="72"/>
      <c r="F1605" s="70"/>
      <c r="G1605" s="72" t="str">
        <f t="shared" ca="1" si="50"/>
        <v/>
      </c>
      <c r="H1605" s="72"/>
      <c r="I1605" s="71"/>
      <c r="L1605" s="55" t="str">
        <f t="shared" ca="1" si="51"/>
        <v>NE</v>
      </c>
    </row>
    <row r="1606" spans="1:12" ht="27" thickBot="1">
      <c r="A1606" s="72"/>
      <c r="B1606" s="74"/>
      <c r="C1606" s="71"/>
      <c r="D1606" s="71"/>
      <c r="E1606" s="72"/>
      <c r="F1606" s="70"/>
      <c r="G1606" s="72" t="str">
        <f t="shared" ca="1" si="50"/>
        <v/>
      </c>
      <c r="H1606" s="72"/>
      <c r="I1606" s="71"/>
      <c r="L1606" s="55" t="str">
        <f t="shared" ca="1" si="51"/>
        <v>NE</v>
      </c>
    </row>
    <row r="1607" spans="1:12" ht="27" thickBot="1">
      <c r="A1607" s="72"/>
      <c r="B1607" s="74"/>
      <c r="C1607" s="71"/>
      <c r="D1607" s="71"/>
      <c r="E1607" s="72"/>
      <c r="F1607" s="70"/>
      <c r="G1607" s="72" t="str">
        <f t="shared" ca="1" si="50"/>
        <v/>
      </c>
      <c r="H1607" s="72"/>
      <c r="I1607" s="71"/>
      <c r="L1607" s="55" t="str">
        <f t="shared" ca="1" si="51"/>
        <v>NE</v>
      </c>
    </row>
    <row r="1608" spans="1:12" ht="27" thickBot="1">
      <c r="A1608" s="72"/>
      <c r="B1608" s="74"/>
      <c r="C1608" s="71"/>
      <c r="D1608" s="71"/>
      <c r="E1608" s="72"/>
      <c r="F1608" s="70"/>
      <c r="G1608" s="72" t="str">
        <f t="shared" ca="1" si="50"/>
        <v/>
      </c>
      <c r="H1608" s="72"/>
      <c r="I1608" s="71"/>
      <c r="L1608" s="55" t="str">
        <f t="shared" ca="1" si="51"/>
        <v>NE</v>
      </c>
    </row>
    <row r="1609" spans="1:12" ht="27" thickBot="1">
      <c r="A1609" s="72"/>
      <c r="B1609" s="74"/>
      <c r="C1609" s="71"/>
      <c r="D1609" s="71"/>
      <c r="E1609" s="72"/>
      <c r="F1609" s="70"/>
      <c r="G1609" s="72" t="str">
        <f t="shared" ca="1" si="50"/>
        <v/>
      </c>
      <c r="H1609" s="72"/>
      <c r="I1609" s="71"/>
      <c r="L1609" s="55" t="str">
        <f t="shared" ca="1" si="51"/>
        <v>NE</v>
      </c>
    </row>
    <row r="1610" spans="1:12" ht="27" thickBot="1">
      <c r="A1610" s="72"/>
      <c r="B1610" s="74"/>
      <c r="C1610" s="71"/>
      <c r="D1610" s="71"/>
      <c r="E1610" s="72"/>
      <c r="F1610" s="70"/>
      <c r="G1610" s="72" t="str">
        <f t="shared" ca="1" si="50"/>
        <v/>
      </c>
      <c r="H1610" s="72"/>
      <c r="I1610" s="71"/>
      <c r="L1610" s="55" t="str">
        <f t="shared" ca="1" si="51"/>
        <v>NE</v>
      </c>
    </row>
    <row r="1611" spans="1:12" ht="27" thickBot="1">
      <c r="A1611" s="72"/>
      <c r="B1611" s="74"/>
      <c r="C1611" s="71"/>
      <c r="D1611" s="71"/>
      <c r="E1611" s="72"/>
      <c r="F1611" s="70"/>
      <c r="G1611" s="72" t="str">
        <f t="shared" ca="1" si="50"/>
        <v/>
      </c>
      <c r="H1611" s="72"/>
      <c r="I1611" s="71"/>
      <c r="L1611" s="55" t="str">
        <f t="shared" ca="1" si="51"/>
        <v>NE</v>
      </c>
    </row>
    <row r="1612" spans="1:12" ht="27" thickBot="1">
      <c r="A1612" s="72"/>
      <c r="B1612" s="74"/>
      <c r="C1612" s="71"/>
      <c r="D1612" s="71"/>
      <c r="E1612" s="72"/>
      <c r="F1612" s="70"/>
      <c r="G1612" s="72" t="str">
        <f t="shared" ca="1" si="50"/>
        <v/>
      </c>
      <c r="H1612" s="72"/>
      <c r="I1612" s="71"/>
      <c r="L1612" s="55" t="str">
        <f t="shared" ca="1" si="51"/>
        <v>NE</v>
      </c>
    </row>
    <row r="1613" spans="1:12" ht="27" thickBot="1">
      <c r="A1613" s="72"/>
      <c r="B1613" s="74"/>
      <c r="C1613" s="71"/>
      <c r="D1613" s="71"/>
      <c r="E1613" s="72"/>
      <c r="F1613" s="70"/>
      <c r="G1613" s="72" t="str">
        <f t="shared" ca="1" si="50"/>
        <v/>
      </c>
      <c r="H1613" s="72"/>
      <c r="I1613" s="71"/>
      <c r="L1613" s="55" t="str">
        <f t="shared" ca="1" si="51"/>
        <v>NE</v>
      </c>
    </row>
    <row r="1614" spans="1:12" ht="27" thickBot="1">
      <c r="A1614" s="72"/>
      <c r="B1614" s="74"/>
      <c r="C1614" s="71"/>
      <c r="D1614" s="71"/>
      <c r="E1614" s="72"/>
      <c r="F1614" s="70"/>
      <c r="G1614" s="72" t="str">
        <f t="shared" ca="1" si="50"/>
        <v/>
      </c>
      <c r="H1614" s="72"/>
      <c r="I1614" s="71"/>
      <c r="L1614" s="55" t="str">
        <f t="shared" ca="1" si="51"/>
        <v>NE</v>
      </c>
    </row>
    <row r="1615" spans="1:12" ht="27" thickBot="1">
      <c r="A1615" s="72"/>
      <c r="B1615" s="74"/>
      <c r="C1615" s="71"/>
      <c r="D1615" s="71"/>
      <c r="E1615" s="72"/>
      <c r="F1615" s="70"/>
      <c r="G1615" s="72" t="str">
        <f t="shared" ca="1" si="50"/>
        <v/>
      </c>
      <c r="H1615" s="72"/>
      <c r="I1615" s="71"/>
      <c r="L1615" s="55" t="str">
        <f t="shared" ca="1" si="51"/>
        <v>NE</v>
      </c>
    </row>
    <row r="1616" spans="1:12" ht="27" thickBot="1">
      <c r="A1616" s="72"/>
      <c r="B1616" s="74"/>
      <c r="C1616" s="71"/>
      <c r="D1616" s="71"/>
      <c r="E1616" s="72"/>
      <c r="F1616" s="70"/>
      <c r="G1616" s="72" t="str">
        <f t="shared" ca="1" si="50"/>
        <v/>
      </c>
      <c r="H1616" s="72"/>
      <c r="I1616" s="71"/>
      <c r="L1616" s="55" t="str">
        <f t="shared" ca="1" si="51"/>
        <v>NE</v>
      </c>
    </row>
    <row r="1617" spans="1:12" ht="27" thickBot="1">
      <c r="A1617" s="72"/>
      <c r="B1617" s="74"/>
      <c r="C1617" s="71"/>
      <c r="D1617" s="71"/>
      <c r="E1617" s="72"/>
      <c r="F1617" s="70"/>
      <c r="G1617" s="72" t="str">
        <f t="shared" ca="1" si="50"/>
        <v/>
      </c>
      <c r="H1617" s="72"/>
      <c r="I1617" s="71"/>
      <c r="L1617" s="55" t="str">
        <f t="shared" ca="1" si="51"/>
        <v>NE</v>
      </c>
    </row>
    <row r="1618" spans="1:12" ht="27" thickBot="1">
      <c r="A1618" s="72"/>
      <c r="B1618" s="74"/>
      <c r="C1618" s="71"/>
      <c r="D1618" s="71"/>
      <c r="E1618" s="72"/>
      <c r="F1618" s="70"/>
      <c r="G1618" s="72" t="str">
        <f t="shared" ca="1" si="50"/>
        <v/>
      </c>
      <c r="H1618" s="72"/>
      <c r="I1618" s="71"/>
      <c r="L1618" s="55" t="str">
        <f t="shared" ca="1" si="51"/>
        <v>NE</v>
      </c>
    </row>
    <row r="1619" spans="1:12" ht="27" thickBot="1">
      <c r="A1619" s="72"/>
      <c r="B1619" s="74"/>
      <c r="C1619" s="71"/>
      <c r="D1619" s="71"/>
      <c r="E1619" s="72"/>
      <c r="F1619" s="70"/>
      <c r="G1619" s="72" t="str">
        <f t="shared" ca="1" si="50"/>
        <v/>
      </c>
      <c r="H1619" s="72"/>
      <c r="I1619" s="71"/>
      <c r="L1619" s="55" t="str">
        <f t="shared" ca="1" si="51"/>
        <v>NE</v>
      </c>
    </row>
    <row r="1620" spans="1:12" ht="27" thickBot="1">
      <c r="A1620" s="72"/>
      <c r="B1620" s="74"/>
      <c r="C1620" s="71"/>
      <c r="D1620" s="71"/>
      <c r="E1620" s="72"/>
      <c r="F1620" s="70"/>
      <c r="G1620" s="72" t="str">
        <f t="shared" ca="1" si="50"/>
        <v/>
      </c>
      <c r="H1620" s="72"/>
      <c r="I1620" s="71"/>
      <c r="L1620" s="55" t="str">
        <f t="shared" ca="1" si="51"/>
        <v>NE</v>
      </c>
    </row>
    <row r="1621" spans="1:12" ht="27" thickBot="1">
      <c r="A1621" s="72"/>
      <c r="B1621" s="74"/>
      <c r="C1621" s="71"/>
      <c r="D1621" s="71"/>
      <c r="E1621" s="72"/>
      <c r="F1621" s="70"/>
      <c r="G1621" s="72" t="str">
        <f t="shared" ca="1" si="50"/>
        <v/>
      </c>
      <c r="H1621" s="72"/>
      <c r="I1621" s="71"/>
      <c r="L1621" s="55" t="str">
        <f t="shared" ca="1" si="51"/>
        <v>NE</v>
      </c>
    </row>
    <row r="1622" spans="1:12" ht="27" thickBot="1">
      <c r="A1622" s="72"/>
      <c r="B1622" s="74"/>
      <c r="C1622" s="71"/>
      <c r="D1622" s="71"/>
      <c r="E1622" s="72"/>
      <c r="F1622" s="70"/>
      <c r="G1622" s="72" t="str">
        <f t="shared" ca="1" si="50"/>
        <v/>
      </c>
      <c r="H1622" s="72"/>
      <c r="I1622" s="71"/>
      <c r="L1622" s="55" t="str">
        <f t="shared" ca="1" si="51"/>
        <v>NE</v>
      </c>
    </row>
    <row r="1623" spans="1:12" ht="27" thickBot="1">
      <c r="A1623" s="72"/>
      <c r="B1623" s="74"/>
      <c r="C1623" s="71"/>
      <c r="D1623" s="71"/>
      <c r="E1623" s="72"/>
      <c r="F1623" s="70"/>
      <c r="G1623" s="72" t="str">
        <f t="shared" ca="1" si="50"/>
        <v/>
      </c>
      <c r="H1623" s="72"/>
      <c r="I1623" s="71"/>
      <c r="L1623" s="55" t="str">
        <f t="shared" ca="1" si="51"/>
        <v>NE</v>
      </c>
    </row>
    <row r="1624" spans="1:12" ht="27" thickBot="1">
      <c r="A1624" s="72"/>
      <c r="B1624" s="74"/>
      <c r="C1624" s="71"/>
      <c r="D1624" s="71"/>
      <c r="E1624" s="72"/>
      <c r="F1624" s="70"/>
      <c r="G1624" s="72" t="str">
        <f t="shared" ca="1" si="50"/>
        <v/>
      </c>
      <c r="H1624" s="72"/>
      <c r="I1624" s="71"/>
      <c r="L1624" s="55" t="str">
        <f t="shared" ca="1" si="51"/>
        <v>NE</v>
      </c>
    </row>
    <row r="1625" spans="1:12" ht="27" thickBot="1">
      <c r="A1625" s="72"/>
      <c r="B1625" s="74"/>
      <c r="C1625" s="71"/>
      <c r="D1625" s="71"/>
      <c r="E1625" s="72"/>
      <c r="F1625" s="70"/>
      <c r="G1625" s="72" t="str">
        <f t="shared" ca="1" si="50"/>
        <v/>
      </c>
      <c r="H1625" s="72"/>
      <c r="I1625" s="71"/>
      <c r="L1625" s="55" t="str">
        <f t="shared" ca="1" si="51"/>
        <v>NE</v>
      </c>
    </row>
    <row r="1626" spans="1:12" ht="27" thickBot="1">
      <c r="A1626" s="72"/>
      <c r="B1626" s="74"/>
      <c r="C1626" s="71"/>
      <c r="D1626" s="71"/>
      <c r="E1626" s="72"/>
      <c r="F1626" s="70"/>
      <c r="G1626" s="72" t="str">
        <f t="shared" ca="1" si="50"/>
        <v/>
      </c>
      <c r="H1626" s="72"/>
      <c r="I1626" s="71"/>
      <c r="L1626" s="55" t="str">
        <f t="shared" ca="1" si="51"/>
        <v>NE</v>
      </c>
    </row>
    <row r="1627" spans="1:12" ht="27" thickBot="1">
      <c r="A1627" s="72"/>
      <c r="B1627" s="74"/>
      <c r="C1627" s="71"/>
      <c r="D1627" s="71"/>
      <c r="E1627" s="72"/>
      <c r="F1627" s="70"/>
      <c r="G1627" s="72" t="str">
        <f t="shared" ca="1" si="50"/>
        <v/>
      </c>
      <c r="H1627" s="72"/>
      <c r="I1627" s="71"/>
      <c r="L1627" s="55" t="str">
        <f t="shared" ca="1" si="51"/>
        <v>NE</v>
      </c>
    </row>
    <row r="1628" spans="1:12" ht="27" thickBot="1">
      <c r="A1628" s="72"/>
      <c r="B1628" s="74"/>
      <c r="C1628" s="71"/>
      <c r="D1628" s="71"/>
      <c r="E1628" s="72"/>
      <c r="F1628" s="70"/>
      <c r="G1628" s="72" t="str">
        <f t="shared" ca="1" si="50"/>
        <v/>
      </c>
      <c r="H1628" s="72"/>
      <c r="I1628" s="71"/>
      <c r="L1628" s="55" t="str">
        <f t="shared" ca="1" si="51"/>
        <v>NE</v>
      </c>
    </row>
    <row r="1629" spans="1:12" ht="27" thickBot="1">
      <c r="A1629" s="72"/>
      <c r="B1629" s="74"/>
      <c r="C1629" s="71"/>
      <c r="D1629" s="71"/>
      <c r="E1629" s="72"/>
      <c r="F1629" s="70"/>
      <c r="G1629" s="72" t="str">
        <f t="shared" ca="1" si="50"/>
        <v/>
      </c>
      <c r="H1629" s="72"/>
      <c r="I1629" s="71"/>
      <c r="L1629" s="55" t="str">
        <f t="shared" ca="1" si="51"/>
        <v>NE</v>
      </c>
    </row>
    <row r="1630" spans="1:12" ht="27" thickBot="1">
      <c r="A1630" s="72"/>
      <c r="B1630" s="74"/>
      <c r="C1630" s="71"/>
      <c r="D1630" s="71"/>
      <c r="E1630" s="72"/>
      <c r="F1630" s="70"/>
      <c r="G1630" s="72" t="str">
        <f t="shared" ca="1" si="50"/>
        <v/>
      </c>
      <c r="H1630" s="72"/>
      <c r="I1630" s="71"/>
      <c r="L1630" s="55" t="str">
        <f t="shared" ca="1" si="51"/>
        <v>NE</v>
      </c>
    </row>
    <row r="1631" spans="1:12" ht="27" thickBot="1">
      <c r="A1631" s="72"/>
      <c r="B1631" s="74"/>
      <c r="C1631" s="71"/>
      <c r="D1631" s="71"/>
      <c r="E1631" s="72"/>
      <c r="F1631" s="70"/>
      <c r="G1631" s="72" t="str">
        <f t="shared" ca="1" si="50"/>
        <v/>
      </c>
      <c r="H1631" s="72"/>
      <c r="I1631" s="71"/>
      <c r="L1631" s="55" t="str">
        <f t="shared" ca="1" si="51"/>
        <v>NE</v>
      </c>
    </row>
    <row r="1632" spans="1:12" ht="27" thickBot="1">
      <c r="A1632" s="72"/>
      <c r="B1632" s="74"/>
      <c r="C1632" s="71"/>
      <c r="D1632" s="71"/>
      <c r="E1632" s="72"/>
      <c r="F1632" s="70"/>
      <c r="G1632" s="72" t="str">
        <f t="shared" ca="1" si="50"/>
        <v/>
      </c>
      <c r="H1632" s="72"/>
      <c r="I1632" s="71"/>
      <c r="L1632" s="55" t="str">
        <f t="shared" ca="1" si="51"/>
        <v>NE</v>
      </c>
    </row>
    <row r="1633" spans="1:12" ht="27" thickBot="1">
      <c r="A1633" s="72"/>
      <c r="B1633" s="74"/>
      <c r="C1633" s="71"/>
      <c r="D1633" s="71"/>
      <c r="E1633" s="72"/>
      <c r="F1633" s="70"/>
      <c r="G1633" s="72" t="str">
        <f t="shared" ca="1" si="50"/>
        <v/>
      </c>
      <c r="H1633" s="72"/>
      <c r="I1633" s="71"/>
      <c r="L1633" s="55" t="str">
        <f t="shared" ca="1" si="51"/>
        <v>NE</v>
      </c>
    </row>
    <row r="1634" spans="1:12" ht="27" thickBot="1">
      <c r="A1634" s="72"/>
      <c r="B1634" s="74"/>
      <c r="C1634" s="71"/>
      <c r="D1634" s="71"/>
      <c r="E1634" s="72"/>
      <c r="F1634" s="70"/>
      <c r="G1634" s="72" t="str">
        <f t="shared" ca="1" si="50"/>
        <v/>
      </c>
      <c r="H1634" s="72"/>
      <c r="I1634" s="71"/>
      <c r="L1634" s="55" t="str">
        <f t="shared" ca="1" si="51"/>
        <v>NE</v>
      </c>
    </row>
    <row r="1635" spans="1:12" ht="27" thickBot="1">
      <c r="A1635" s="72"/>
      <c r="B1635" s="74"/>
      <c r="C1635" s="71"/>
      <c r="D1635" s="71"/>
      <c r="E1635" s="72"/>
      <c r="F1635" s="70"/>
      <c r="G1635" s="72" t="str">
        <f t="shared" ca="1" si="50"/>
        <v/>
      </c>
      <c r="H1635" s="72"/>
      <c r="I1635" s="71"/>
      <c r="L1635" s="55" t="str">
        <f t="shared" ca="1" si="51"/>
        <v>NE</v>
      </c>
    </row>
    <row r="1636" spans="1:12" ht="27" thickBot="1">
      <c r="A1636" s="72"/>
      <c r="B1636" s="74"/>
      <c r="C1636" s="71"/>
      <c r="D1636" s="71"/>
      <c r="E1636" s="72"/>
      <c r="F1636" s="70"/>
      <c r="G1636" s="72" t="str">
        <f t="shared" ca="1" si="50"/>
        <v/>
      </c>
      <c r="H1636" s="72"/>
      <c r="I1636" s="71"/>
      <c r="L1636" s="55" t="str">
        <f t="shared" ca="1" si="51"/>
        <v>NE</v>
      </c>
    </row>
    <row r="1637" spans="1:12" ht="27" thickBot="1">
      <c r="A1637" s="72"/>
      <c r="B1637" s="74"/>
      <c r="C1637" s="71"/>
      <c r="D1637" s="71"/>
      <c r="E1637" s="72"/>
      <c r="F1637" s="70"/>
      <c r="G1637" s="72" t="str">
        <f t="shared" ca="1" si="50"/>
        <v/>
      </c>
      <c r="H1637" s="72"/>
      <c r="I1637" s="71"/>
      <c r="L1637" s="55" t="str">
        <f t="shared" ca="1" si="51"/>
        <v>NE</v>
      </c>
    </row>
    <row r="1638" spans="1:12" ht="27" thickBot="1">
      <c r="A1638" s="72"/>
      <c r="B1638" s="74"/>
      <c r="C1638" s="71"/>
      <c r="D1638" s="71"/>
      <c r="E1638" s="72"/>
      <c r="F1638" s="70"/>
      <c r="G1638" s="72" t="str">
        <f t="shared" ca="1" si="50"/>
        <v/>
      </c>
      <c r="H1638" s="72"/>
      <c r="I1638" s="71"/>
      <c r="L1638" s="55" t="str">
        <f t="shared" ca="1" si="51"/>
        <v>NE</v>
      </c>
    </row>
    <row r="1639" spans="1:12" ht="27" thickBot="1">
      <c r="A1639" s="72"/>
      <c r="B1639" s="74"/>
      <c r="C1639" s="71"/>
      <c r="D1639" s="71"/>
      <c r="E1639" s="72"/>
      <c r="F1639" s="70"/>
      <c r="G1639" s="72" t="str">
        <f t="shared" ca="1" si="50"/>
        <v/>
      </c>
      <c r="H1639" s="72"/>
      <c r="I1639" s="71"/>
      <c r="L1639" s="55" t="str">
        <f t="shared" ca="1" si="51"/>
        <v>NE</v>
      </c>
    </row>
    <row r="1640" spans="1:12" ht="27" thickBot="1">
      <c r="A1640" s="72"/>
      <c r="B1640" s="74"/>
      <c r="C1640" s="71"/>
      <c r="D1640" s="71"/>
      <c r="E1640" s="72"/>
      <c r="F1640" s="70"/>
      <c r="G1640" s="72" t="str">
        <f t="shared" ca="1" si="50"/>
        <v/>
      </c>
      <c r="H1640" s="72"/>
      <c r="I1640" s="71"/>
      <c r="L1640" s="55" t="str">
        <f t="shared" ca="1" si="51"/>
        <v>NE</v>
      </c>
    </row>
    <row r="1641" spans="1:12" ht="27" thickBot="1">
      <c r="A1641" s="72"/>
      <c r="B1641" s="74"/>
      <c r="C1641" s="71"/>
      <c r="D1641" s="71"/>
      <c r="E1641" s="72"/>
      <c r="F1641" s="70"/>
      <c r="G1641" s="72" t="str">
        <f t="shared" ca="1" si="50"/>
        <v/>
      </c>
      <c r="H1641" s="72"/>
      <c r="I1641" s="71"/>
      <c r="L1641" s="55" t="str">
        <f t="shared" ca="1" si="51"/>
        <v>NE</v>
      </c>
    </row>
    <row r="1642" spans="1:12" ht="27" thickBot="1">
      <c r="A1642" s="72"/>
      <c r="B1642" s="74"/>
      <c r="C1642" s="71"/>
      <c r="D1642" s="71"/>
      <c r="E1642" s="72"/>
      <c r="F1642" s="70"/>
      <c r="G1642" s="72" t="str">
        <f t="shared" ca="1" si="50"/>
        <v/>
      </c>
      <c r="H1642" s="72"/>
      <c r="I1642" s="71"/>
      <c r="L1642" s="55" t="str">
        <f t="shared" ca="1" si="51"/>
        <v>NE</v>
      </c>
    </row>
    <row r="1643" spans="1:12" ht="27" thickBot="1">
      <c r="A1643" s="72"/>
      <c r="B1643" s="74"/>
      <c r="C1643" s="71"/>
      <c r="D1643" s="71"/>
      <c r="E1643" s="72"/>
      <c r="F1643" s="70"/>
      <c r="G1643" s="72" t="str">
        <f t="shared" ca="1" si="50"/>
        <v/>
      </c>
      <c r="H1643" s="72"/>
      <c r="I1643" s="71"/>
      <c r="L1643" s="55" t="str">
        <f t="shared" ca="1" si="51"/>
        <v>NE</v>
      </c>
    </row>
    <row r="1644" spans="1:12" ht="27" thickBot="1">
      <c r="A1644" s="72"/>
      <c r="B1644" s="74"/>
      <c r="C1644" s="71"/>
      <c r="D1644" s="71"/>
      <c r="E1644" s="72"/>
      <c r="F1644" s="70"/>
      <c r="G1644" s="72" t="str">
        <f t="shared" ca="1" si="50"/>
        <v/>
      </c>
      <c r="H1644" s="72"/>
      <c r="I1644" s="71"/>
      <c r="L1644" s="55" t="str">
        <f t="shared" ca="1" si="51"/>
        <v>NE</v>
      </c>
    </row>
    <row r="1645" spans="1:12" ht="27" thickBot="1">
      <c r="A1645" s="72"/>
      <c r="B1645" s="74"/>
      <c r="C1645" s="71"/>
      <c r="D1645" s="71"/>
      <c r="E1645" s="72"/>
      <c r="F1645" s="70"/>
      <c r="G1645" s="72" t="str">
        <f t="shared" ca="1" si="50"/>
        <v/>
      </c>
      <c r="H1645" s="72"/>
      <c r="I1645" s="71"/>
      <c r="L1645" s="55" t="str">
        <f t="shared" ca="1" si="51"/>
        <v>NE</v>
      </c>
    </row>
    <row r="1646" spans="1:12" ht="27" thickBot="1">
      <c r="A1646" s="72"/>
      <c r="B1646" s="74"/>
      <c r="C1646" s="71"/>
      <c r="D1646" s="71"/>
      <c r="E1646" s="72"/>
      <c r="F1646" s="70"/>
      <c r="G1646" s="72" t="str">
        <f t="shared" ref="G1646:G1709" ca="1" si="52">IF(ISBLANK(F1646),"",IF(F1646&gt;=TODAY(), "Non Echue", "Echue"))</f>
        <v/>
      </c>
      <c r="H1646" s="72"/>
      <c r="I1646" s="71"/>
      <c r="L1646" s="55" t="str">
        <f t="shared" ref="L1646:L1709" ca="1" si="53" xml:space="preserve"> IF(G1646 = "Echue",IF(H1646 = "Appliqué","EAP","NAP"),"NE")</f>
        <v>NE</v>
      </c>
    </row>
    <row r="1647" spans="1:12" ht="27" thickBot="1">
      <c r="A1647" s="72"/>
      <c r="B1647" s="74"/>
      <c r="C1647" s="71"/>
      <c r="D1647" s="71"/>
      <c r="E1647" s="72"/>
      <c r="F1647" s="70"/>
      <c r="G1647" s="72" t="str">
        <f t="shared" ca="1" si="52"/>
        <v/>
      </c>
      <c r="H1647" s="72"/>
      <c r="I1647" s="71"/>
      <c r="L1647" s="55" t="str">
        <f t="shared" ca="1" si="53"/>
        <v>NE</v>
      </c>
    </row>
    <row r="1648" spans="1:12" ht="27" thickBot="1">
      <c r="A1648" s="72"/>
      <c r="B1648" s="74"/>
      <c r="C1648" s="71"/>
      <c r="D1648" s="71"/>
      <c r="E1648" s="72"/>
      <c r="F1648" s="70"/>
      <c r="G1648" s="72" t="str">
        <f t="shared" ca="1" si="52"/>
        <v/>
      </c>
      <c r="H1648" s="72"/>
      <c r="I1648" s="71"/>
      <c r="L1648" s="55" t="str">
        <f t="shared" ca="1" si="53"/>
        <v>NE</v>
      </c>
    </row>
    <row r="1649" spans="1:12" ht="27" thickBot="1">
      <c r="A1649" s="72"/>
      <c r="B1649" s="74"/>
      <c r="C1649" s="71"/>
      <c r="D1649" s="71"/>
      <c r="E1649" s="72"/>
      <c r="F1649" s="70"/>
      <c r="G1649" s="72" t="str">
        <f t="shared" ca="1" si="52"/>
        <v/>
      </c>
      <c r="H1649" s="72"/>
      <c r="I1649" s="71"/>
      <c r="L1649" s="55" t="str">
        <f t="shared" ca="1" si="53"/>
        <v>NE</v>
      </c>
    </row>
    <row r="1650" spans="1:12" ht="27" thickBot="1">
      <c r="A1650" s="72"/>
      <c r="B1650" s="74"/>
      <c r="C1650" s="71"/>
      <c r="D1650" s="71"/>
      <c r="E1650" s="72"/>
      <c r="F1650" s="70"/>
      <c r="G1650" s="72" t="str">
        <f t="shared" ca="1" si="52"/>
        <v/>
      </c>
      <c r="H1650" s="72"/>
      <c r="I1650" s="71"/>
      <c r="L1650" s="55" t="str">
        <f t="shared" ca="1" si="53"/>
        <v>NE</v>
      </c>
    </row>
    <row r="1651" spans="1:12" ht="27" thickBot="1">
      <c r="A1651" s="72"/>
      <c r="B1651" s="74"/>
      <c r="C1651" s="71"/>
      <c r="D1651" s="71"/>
      <c r="E1651" s="72"/>
      <c r="F1651" s="70"/>
      <c r="G1651" s="72" t="str">
        <f t="shared" ca="1" si="52"/>
        <v/>
      </c>
      <c r="H1651" s="72"/>
      <c r="I1651" s="71"/>
      <c r="L1651" s="55" t="str">
        <f t="shared" ca="1" si="53"/>
        <v>NE</v>
      </c>
    </row>
    <row r="1652" spans="1:12" ht="27" thickBot="1">
      <c r="A1652" s="72"/>
      <c r="B1652" s="74"/>
      <c r="C1652" s="71"/>
      <c r="D1652" s="71"/>
      <c r="E1652" s="72"/>
      <c r="F1652" s="70"/>
      <c r="G1652" s="72" t="str">
        <f t="shared" ca="1" si="52"/>
        <v/>
      </c>
      <c r="H1652" s="72"/>
      <c r="I1652" s="71"/>
      <c r="L1652" s="55" t="str">
        <f t="shared" ca="1" si="53"/>
        <v>NE</v>
      </c>
    </row>
    <row r="1653" spans="1:12" ht="27" thickBot="1">
      <c r="A1653" s="72"/>
      <c r="B1653" s="74"/>
      <c r="C1653" s="71"/>
      <c r="D1653" s="71"/>
      <c r="E1653" s="72"/>
      <c r="F1653" s="70"/>
      <c r="G1653" s="72" t="str">
        <f t="shared" ca="1" si="52"/>
        <v/>
      </c>
      <c r="H1653" s="72"/>
      <c r="I1653" s="71"/>
      <c r="L1653" s="55" t="str">
        <f t="shared" ca="1" si="53"/>
        <v>NE</v>
      </c>
    </row>
    <row r="1654" spans="1:12" ht="27" thickBot="1">
      <c r="A1654" s="72"/>
      <c r="B1654" s="74"/>
      <c r="C1654" s="71"/>
      <c r="D1654" s="71"/>
      <c r="E1654" s="72"/>
      <c r="F1654" s="70"/>
      <c r="G1654" s="72" t="str">
        <f t="shared" ca="1" si="52"/>
        <v/>
      </c>
      <c r="H1654" s="72"/>
      <c r="I1654" s="71"/>
      <c r="L1654" s="55" t="str">
        <f t="shared" ca="1" si="53"/>
        <v>NE</v>
      </c>
    </row>
    <row r="1655" spans="1:12" ht="27" thickBot="1">
      <c r="A1655" s="72"/>
      <c r="B1655" s="74"/>
      <c r="C1655" s="71"/>
      <c r="D1655" s="71"/>
      <c r="E1655" s="72"/>
      <c r="F1655" s="70"/>
      <c r="G1655" s="72" t="str">
        <f t="shared" ca="1" si="52"/>
        <v/>
      </c>
      <c r="H1655" s="72"/>
      <c r="I1655" s="71"/>
      <c r="L1655" s="55" t="str">
        <f t="shared" ca="1" si="53"/>
        <v>NE</v>
      </c>
    </row>
    <row r="1656" spans="1:12" ht="27" thickBot="1">
      <c r="A1656" s="72"/>
      <c r="B1656" s="74"/>
      <c r="C1656" s="71"/>
      <c r="D1656" s="71"/>
      <c r="E1656" s="72"/>
      <c r="F1656" s="70"/>
      <c r="G1656" s="72" t="str">
        <f t="shared" ca="1" si="52"/>
        <v/>
      </c>
      <c r="H1656" s="72"/>
      <c r="I1656" s="71"/>
      <c r="L1656" s="55" t="str">
        <f t="shared" ca="1" si="53"/>
        <v>NE</v>
      </c>
    </row>
    <row r="1657" spans="1:12" ht="27" thickBot="1">
      <c r="A1657" s="72"/>
      <c r="B1657" s="74"/>
      <c r="C1657" s="71"/>
      <c r="D1657" s="71"/>
      <c r="E1657" s="72"/>
      <c r="F1657" s="70"/>
      <c r="G1657" s="72" t="str">
        <f t="shared" ca="1" si="52"/>
        <v/>
      </c>
      <c r="H1657" s="72"/>
      <c r="I1657" s="71"/>
      <c r="L1657" s="55" t="str">
        <f t="shared" ca="1" si="53"/>
        <v>NE</v>
      </c>
    </row>
    <row r="1658" spans="1:12" ht="27" thickBot="1">
      <c r="A1658" s="72"/>
      <c r="B1658" s="74"/>
      <c r="C1658" s="71"/>
      <c r="D1658" s="71"/>
      <c r="E1658" s="72"/>
      <c r="F1658" s="70"/>
      <c r="G1658" s="72" t="str">
        <f t="shared" ca="1" si="52"/>
        <v/>
      </c>
      <c r="H1658" s="72"/>
      <c r="I1658" s="71"/>
      <c r="L1658" s="55" t="str">
        <f t="shared" ca="1" si="53"/>
        <v>NE</v>
      </c>
    </row>
    <row r="1659" spans="1:12" ht="27" thickBot="1">
      <c r="A1659" s="72"/>
      <c r="B1659" s="74"/>
      <c r="C1659" s="71"/>
      <c r="D1659" s="71"/>
      <c r="E1659" s="72"/>
      <c r="F1659" s="70"/>
      <c r="G1659" s="72" t="str">
        <f t="shared" ca="1" si="52"/>
        <v/>
      </c>
      <c r="H1659" s="72"/>
      <c r="I1659" s="71"/>
      <c r="L1659" s="55" t="str">
        <f t="shared" ca="1" si="53"/>
        <v>NE</v>
      </c>
    </row>
    <row r="1660" spans="1:12" ht="27" thickBot="1">
      <c r="A1660" s="72"/>
      <c r="B1660" s="74"/>
      <c r="C1660" s="71"/>
      <c r="D1660" s="71"/>
      <c r="E1660" s="72"/>
      <c r="F1660" s="70"/>
      <c r="G1660" s="72" t="str">
        <f t="shared" ca="1" si="52"/>
        <v/>
      </c>
      <c r="H1660" s="72"/>
      <c r="I1660" s="71"/>
      <c r="L1660" s="55" t="str">
        <f t="shared" ca="1" si="53"/>
        <v>NE</v>
      </c>
    </row>
    <row r="1661" spans="1:12" ht="27" thickBot="1">
      <c r="A1661" s="72"/>
      <c r="B1661" s="74"/>
      <c r="C1661" s="71"/>
      <c r="D1661" s="71"/>
      <c r="E1661" s="72"/>
      <c r="F1661" s="70"/>
      <c r="G1661" s="72" t="str">
        <f t="shared" ca="1" si="52"/>
        <v/>
      </c>
      <c r="H1661" s="72"/>
      <c r="I1661" s="71"/>
      <c r="L1661" s="55" t="str">
        <f t="shared" ca="1" si="53"/>
        <v>NE</v>
      </c>
    </row>
    <row r="1662" spans="1:12" ht="27" thickBot="1">
      <c r="A1662" s="72"/>
      <c r="B1662" s="74"/>
      <c r="C1662" s="71"/>
      <c r="D1662" s="71"/>
      <c r="E1662" s="72"/>
      <c r="F1662" s="70"/>
      <c r="G1662" s="72" t="str">
        <f t="shared" ca="1" si="52"/>
        <v/>
      </c>
      <c r="H1662" s="72"/>
      <c r="I1662" s="71"/>
      <c r="L1662" s="55" t="str">
        <f t="shared" ca="1" si="53"/>
        <v>NE</v>
      </c>
    </row>
    <row r="1663" spans="1:12" ht="27" thickBot="1">
      <c r="A1663" s="72"/>
      <c r="B1663" s="74"/>
      <c r="C1663" s="71"/>
      <c r="D1663" s="71"/>
      <c r="E1663" s="72"/>
      <c r="F1663" s="70"/>
      <c r="G1663" s="72" t="str">
        <f t="shared" ca="1" si="52"/>
        <v/>
      </c>
      <c r="H1663" s="72"/>
      <c r="I1663" s="71"/>
      <c r="L1663" s="55" t="str">
        <f t="shared" ca="1" si="53"/>
        <v>NE</v>
      </c>
    </row>
    <row r="1664" spans="1:12" ht="27" thickBot="1">
      <c r="A1664" s="72"/>
      <c r="B1664" s="74"/>
      <c r="C1664" s="71"/>
      <c r="D1664" s="71"/>
      <c r="E1664" s="72"/>
      <c r="F1664" s="70"/>
      <c r="G1664" s="72" t="str">
        <f t="shared" ca="1" si="52"/>
        <v/>
      </c>
      <c r="H1664" s="72"/>
      <c r="I1664" s="71"/>
      <c r="L1664" s="55" t="str">
        <f t="shared" ca="1" si="53"/>
        <v>NE</v>
      </c>
    </row>
    <row r="1665" spans="1:12" ht="27" thickBot="1">
      <c r="A1665" s="72"/>
      <c r="B1665" s="74"/>
      <c r="C1665" s="71"/>
      <c r="D1665" s="71"/>
      <c r="E1665" s="72"/>
      <c r="F1665" s="70"/>
      <c r="G1665" s="72" t="str">
        <f t="shared" ca="1" si="52"/>
        <v/>
      </c>
      <c r="H1665" s="72"/>
      <c r="I1665" s="71"/>
      <c r="L1665" s="55" t="str">
        <f t="shared" ca="1" si="53"/>
        <v>NE</v>
      </c>
    </row>
    <row r="1666" spans="1:12" ht="27" thickBot="1">
      <c r="A1666" s="72"/>
      <c r="B1666" s="74"/>
      <c r="C1666" s="71"/>
      <c r="D1666" s="71"/>
      <c r="E1666" s="72"/>
      <c r="F1666" s="70"/>
      <c r="G1666" s="72" t="str">
        <f t="shared" ca="1" si="52"/>
        <v/>
      </c>
      <c r="H1666" s="72"/>
      <c r="I1666" s="71"/>
      <c r="L1666" s="55" t="str">
        <f t="shared" ca="1" si="53"/>
        <v>NE</v>
      </c>
    </row>
    <row r="1667" spans="1:12" ht="27" thickBot="1">
      <c r="A1667" s="72"/>
      <c r="B1667" s="74"/>
      <c r="C1667" s="71"/>
      <c r="D1667" s="71"/>
      <c r="E1667" s="72"/>
      <c r="F1667" s="70"/>
      <c r="G1667" s="72" t="str">
        <f t="shared" ca="1" si="52"/>
        <v/>
      </c>
      <c r="H1667" s="72"/>
      <c r="I1667" s="71"/>
      <c r="L1667" s="55" t="str">
        <f t="shared" ca="1" si="53"/>
        <v>NE</v>
      </c>
    </row>
    <row r="1668" spans="1:12" ht="27" thickBot="1">
      <c r="A1668" s="72"/>
      <c r="B1668" s="74"/>
      <c r="C1668" s="71"/>
      <c r="D1668" s="71"/>
      <c r="E1668" s="72"/>
      <c r="F1668" s="70"/>
      <c r="G1668" s="72" t="str">
        <f t="shared" ca="1" si="52"/>
        <v/>
      </c>
      <c r="H1668" s="72"/>
      <c r="I1668" s="71"/>
      <c r="L1668" s="55" t="str">
        <f t="shared" ca="1" si="53"/>
        <v>NE</v>
      </c>
    </row>
    <row r="1669" spans="1:12" ht="27" thickBot="1">
      <c r="A1669" s="72"/>
      <c r="B1669" s="74"/>
      <c r="C1669" s="71"/>
      <c r="D1669" s="71"/>
      <c r="E1669" s="72"/>
      <c r="F1669" s="70"/>
      <c r="G1669" s="72" t="str">
        <f t="shared" ca="1" si="52"/>
        <v/>
      </c>
      <c r="H1669" s="72"/>
      <c r="I1669" s="71"/>
      <c r="L1669" s="55" t="str">
        <f t="shared" ca="1" si="53"/>
        <v>NE</v>
      </c>
    </row>
    <row r="1670" spans="1:12" ht="27" thickBot="1">
      <c r="A1670" s="72"/>
      <c r="B1670" s="74"/>
      <c r="C1670" s="71"/>
      <c r="D1670" s="71"/>
      <c r="E1670" s="72"/>
      <c r="F1670" s="70"/>
      <c r="G1670" s="72" t="str">
        <f t="shared" ca="1" si="52"/>
        <v/>
      </c>
      <c r="H1670" s="72"/>
      <c r="I1670" s="71"/>
      <c r="L1670" s="55" t="str">
        <f t="shared" ca="1" si="53"/>
        <v>NE</v>
      </c>
    </row>
    <row r="1671" spans="1:12" ht="27" thickBot="1">
      <c r="A1671" s="72"/>
      <c r="B1671" s="74"/>
      <c r="C1671" s="71"/>
      <c r="D1671" s="71"/>
      <c r="E1671" s="72"/>
      <c r="F1671" s="70"/>
      <c r="G1671" s="72" t="str">
        <f t="shared" ca="1" si="52"/>
        <v/>
      </c>
      <c r="H1671" s="72"/>
      <c r="I1671" s="71"/>
      <c r="L1671" s="55" t="str">
        <f t="shared" ca="1" si="53"/>
        <v>NE</v>
      </c>
    </row>
    <row r="1672" spans="1:12" ht="27" thickBot="1">
      <c r="A1672" s="72"/>
      <c r="B1672" s="74"/>
      <c r="C1672" s="71"/>
      <c r="D1672" s="71"/>
      <c r="E1672" s="72"/>
      <c r="F1672" s="70"/>
      <c r="G1672" s="72" t="str">
        <f t="shared" ca="1" si="52"/>
        <v/>
      </c>
      <c r="H1672" s="72"/>
      <c r="I1672" s="71"/>
      <c r="L1672" s="55" t="str">
        <f t="shared" ca="1" si="53"/>
        <v>NE</v>
      </c>
    </row>
    <row r="1673" spans="1:12" ht="27" thickBot="1">
      <c r="A1673" s="72"/>
      <c r="B1673" s="74"/>
      <c r="C1673" s="71"/>
      <c r="D1673" s="71"/>
      <c r="E1673" s="72"/>
      <c r="F1673" s="70"/>
      <c r="G1673" s="72" t="str">
        <f t="shared" ca="1" si="52"/>
        <v/>
      </c>
      <c r="H1673" s="72"/>
      <c r="I1673" s="71"/>
      <c r="L1673" s="55" t="str">
        <f t="shared" ca="1" si="53"/>
        <v>NE</v>
      </c>
    </row>
    <row r="1674" spans="1:12" ht="27" thickBot="1">
      <c r="A1674" s="72"/>
      <c r="B1674" s="74"/>
      <c r="C1674" s="71"/>
      <c r="D1674" s="71"/>
      <c r="E1674" s="72"/>
      <c r="F1674" s="70"/>
      <c r="G1674" s="72" t="str">
        <f t="shared" ca="1" si="52"/>
        <v/>
      </c>
      <c r="H1674" s="72"/>
      <c r="I1674" s="71"/>
      <c r="L1674" s="55" t="str">
        <f t="shared" ca="1" si="53"/>
        <v>NE</v>
      </c>
    </row>
    <row r="1675" spans="1:12" ht="27" thickBot="1">
      <c r="A1675" s="72"/>
      <c r="B1675" s="74"/>
      <c r="C1675" s="71"/>
      <c r="D1675" s="71"/>
      <c r="E1675" s="72"/>
      <c r="F1675" s="70"/>
      <c r="G1675" s="72" t="str">
        <f t="shared" ca="1" si="52"/>
        <v/>
      </c>
      <c r="H1675" s="72"/>
      <c r="I1675" s="71"/>
      <c r="L1675" s="55" t="str">
        <f t="shared" ca="1" si="53"/>
        <v>NE</v>
      </c>
    </row>
    <row r="1676" spans="1:12" ht="27" thickBot="1">
      <c r="A1676" s="72"/>
      <c r="B1676" s="74"/>
      <c r="C1676" s="71"/>
      <c r="D1676" s="71"/>
      <c r="E1676" s="72"/>
      <c r="F1676" s="70"/>
      <c r="G1676" s="72" t="str">
        <f t="shared" ca="1" si="52"/>
        <v/>
      </c>
      <c r="H1676" s="72"/>
      <c r="I1676" s="71"/>
      <c r="L1676" s="55" t="str">
        <f t="shared" ca="1" si="53"/>
        <v>NE</v>
      </c>
    </row>
    <row r="1677" spans="1:12" ht="27" thickBot="1">
      <c r="A1677" s="72"/>
      <c r="B1677" s="74"/>
      <c r="C1677" s="71"/>
      <c r="D1677" s="71"/>
      <c r="E1677" s="72"/>
      <c r="F1677" s="70"/>
      <c r="G1677" s="72" t="str">
        <f t="shared" ca="1" si="52"/>
        <v/>
      </c>
      <c r="H1677" s="72"/>
      <c r="I1677" s="71"/>
      <c r="L1677" s="55" t="str">
        <f t="shared" ca="1" si="53"/>
        <v>NE</v>
      </c>
    </row>
    <row r="1678" spans="1:12" ht="27" thickBot="1">
      <c r="A1678" s="72"/>
      <c r="B1678" s="74"/>
      <c r="C1678" s="71"/>
      <c r="D1678" s="71"/>
      <c r="E1678" s="72"/>
      <c r="F1678" s="70"/>
      <c r="G1678" s="72" t="str">
        <f t="shared" ca="1" si="52"/>
        <v/>
      </c>
      <c r="H1678" s="72"/>
      <c r="I1678" s="71"/>
      <c r="L1678" s="55" t="str">
        <f t="shared" ca="1" si="53"/>
        <v>NE</v>
      </c>
    </row>
    <row r="1679" spans="1:12" ht="27" thickBot="1">
      <c r="A1679" s="72"/>
      <c r="B1679" s="74"/>
      <c r="C1679" s="71"/>
      <c r="D1679" s="71"/>
      <c r="E1679" s="72"/>
      <c r="F1679" s="70"/>
      <c r="G1679" s="72" t="str">
        <f t="shared" ca="1" si="52"/>
        <v/>
      </c>
      <c r="H1679" s="72"/>
      <c r="I1679" s="71"/>
      <c r="L1679" s="55" t="str">
        <f t="shared" ca="1" si="53"/>
        <v>NE</v>
      </c>
    </row>
    <row r="1680" spans="1:12" ht="27" thickBot="1">
      <c r="A1680" s="72"/>
      <c r="B1680" s="74"/>
      <c r="C1680" s="71"/>
      <c r="D1680" s="71"/>
      <c r="E1680" s="72"/>
      <c r="F1680" s="70"/>
      <c r="G1680" s="72" t="str">
        <f t="shared" ca="1" si="52"/>
        <v/>
      </c>
      <c r="H1680" s="72"/>
      <c r="I1680" s="71"/>
      <c r="L1680" s="55" t="str">
        <f t="shared" ca="1" si="53"/>
        <v>NE</v>
      </c>
    </row>
    <row r="1681" spans="1:12" ht="27" thickBot="1">
      <c r="A1681" s="72"/>
      <c r="B1681" s="74"/>
      <c r="C1681" s="71"/>
      <c r="D1681" s="71"/>
      <c r="E1681" s="72"/>
      <c r="F1681" s="70"/>
      <c r="G1681" s="72" t="str">
        <f t="shared" ca="1" si="52"/>
        <v/>
      </c>
      <c r="H1681" s="72"/>
      <c r="I1681" s="71"/>
      <c r="L1681" s="55" t="str">
        <f t="shared" ca="1" si="53"/>
        <v>NE</v>
      </c>
    </row>
    <row r="1682" spans="1:12" ht="27" thickBot="1">
      <c r="A1682" s="72"/>
      <c r="B1682" s="74"/>
      <c r="C1682" s="71"/>
      <c r="D1682" s="71"/>
      <c r="E1682" s="72"/>
      <c r="F1682" s="70"/>
      <c r="G1682" s="72" t="str">
        <f t="shared" ca="1" si="52"/>
        <v/>
      </c>
      <c r="H1682" s="72"/>
      <c r="I1682" s="71"/>
      <c r="L1682" s="55" t="str">
        <f t="shared" ca="1" si="53"/>
        <v>NE</v>
      </c>
    </row>
    <row r="1683" spans="1:12" ht="27" thickBot="1">
      <c r="A1683" s="72"/>
      <c r="B1683" s="74"/>
      <c r="C1683" s="71"/>
      <c r="D1683" s="71"/>
      <c r="E1683" s="72"/>
      <c r="F1683" s="70"/>
      <c r="G1683" s="72" t="str">
        <f t="shared" ca="1" si="52"/>
        <v/>
      </c>
      <c r="H1683" s="72"/>
      <c r="I1683" s="71"/>
      <c r="L1683" s="55" t="str">
        <f t="shared" ca="1" si="53"/>
        <v>NE</v>
      </c>
    </row>
    <row r="1684" spans="1:12" ht="27" thickBot="1">
      <c r="A1684" s="72"/>
      <c r="B1684" s="74"/>
      <c r="C1684" s="71"/>
      <c r="D1684" s="71"/>
      <c r="E1684" s="72"/>
      <c r="F1684" s="70"/>
      <c r="G1684" s="72" t="str">
        <f t="shared" ca="1" si="52"/>
        <v/>
      </c>
      <c r="H1684" s="72"/>
      <c r="I1684" s="71"/>
      <c r="L1684" s="55" t="str">
        <f t="shared" ca="1" si="53"/>
        <v>NE</v>
      </c>
    </row>
    <row r="1685" spans="1:12" ht="27" thickBot="1">
      <c r="A1685" s="72"/>
      <c r="B1685" s="74"/>
      <c r="C1685" s="71"/>
      <c r="D1685" s="71"/>
      <c r="E1685" s="72"/>
      <c r="F1685" s="70"/>
      <c r="G1685" s="72" t="str">
        <f t="shared" ca="1" si="52"/>
        <v/>
      </c>
      <c r="H1685" s="72"/>
      <c r="I1685" s="71"/>
      <c r="L1685" s="55" t="str">
        <f t="shared" ca="1" si="53"/>
        <v>NE</v>
      </c>
    </row>
    <row r="1686" spans="1:12" ht="27" thickBot="1">
      <c r="A1686" s="72"/>
      <c r="B1686" s="74"/>
      <c r="C1686" s="71"/>
      <c r="D1686" s="71"/>
      <c r="E1686" s="72"/>
      <c r="F1686" s="70"/>
      <c r="G1686" s="72" t="str">
        <f t="shared" ca="1" si="52"/>
        <v/>
      </c>
      <c r="H1686" s="72"/>
      <c r="I1686" s="71"/>
      <c r="L1686" s="55" t="str">
        <f t="shared" ca="1" si="53"/>
        <v>NE</v>
      </c>
    </row>
    <row r="1687" spans="1:12" ht="27" thickBot="1">
      <c r="A1687" s="72"/>
      <c r="B1687" s="74"/>
      <c r="C1687" s="71"/>
      <c r="D1687" s="71"/>
      <c r="E1687" s="72"/>
      <c r="F1687" s="70"/>
      <c r="G1687" s="72" t="str">
        <f t="shared" ca="1" si="52"/>
        <v/>
      </c>
      <c r="H1687" s="72"/>
      <c r="I1687" s="71"/>
      <c r="L1687" s="55" t="str">
        <f t="shared" ca="1" si="53"/>
        <v>NE</v>
      </c>
    </row>
    <row r="1688" spans="1:12" ht="27" thickBot="1">
      <c r="A1688" s="72"/>
      <c r="B1688" s="74"/>
      <c r="C1688" s="71"/>
      <c r="D1688" s="71"/>
      <c r="E1688" s="72"/>
      <c r="F1688" s="70"/>
      <c r="G1688" s="72" t="str">
        <f t="shared" ca="1" si="52"/>
        <v/>
      </c>
      <c r="H1688" s="72"/>
      <c r="I1688" s="71"/>
      <c r="L1688" s="55" t="str">
        <f t="shared" ca="1" si="53"/>
        <v>NE</v>
      </c>
    </row>
    <row r="1689" spans="1:12" ht="27" thickBot="1">
      <c r="A1689" s="72"/>
      <c r="B1689" s="74"/>
      <c r="C1689" s="71"/>
      <c r="D1689" s="71"/>
      <c r="E1689" s="72"/>
      <c r="F1689" s="70"/>
      <c r="G1689" s="72" t="str">
        <f t="shared" ca="1" si="52"/>
        <v/>
      </c>
      <c r="H1689" s="72"/>
      <c r="I1689" s="71"/>
      <c r="L1689" s="55" t="str">
        <f t="shared" ca="1" si="53"/>
        <v>NE</v>
      </c>
    </row>
    <row r="1690" spans="1:12" ht="27" thickBot="1">
      <c r="A1690" s="72"/>
      <c r="B1690" s="74"/>
      <c r="C1690" s="71"/>
      <c r="D1690" s="71"/>
      <c r="E1690" s="72"/>
      <c r="F1690" s="70"/>
      <c r="G1690" s="72" t="str">
        <f t="shared" ca="1" si="52"/>
        <v/>
      </c>
      <c r="H1690" s="72"/>
      <c r="I1690" s="71"/>
      <c r="L1690" s="55" t="str">
        <f t="shared" ca="1" si="53"/>
        <v>NE</v>
      </c>
    </row>
    <row r="1691" spans="1:12" ht="27" thickBot="1">
      <c r="A1691" s="72"/>
      <c r="B1691" s="74"/>
      <c r="C1691" s="71"/>
      <c r="D1691" s="71"/>
      <c r="E1691" s="72"/>
      <c r="F1691" s="70"/>
      <c r="G1691" s="72" t="str">
        <f t="shared" ca="1" si="52"/>
        <v/>
      </c>
      <c r="H1691" s="72"/>
      <c r="I1691" s="71"/>
      <c r="L1691" s="55" t="str">
        <f t="shared" ca="1" si="53"/>
        <v>NE</v>
      </c>
    </row>
    <row r="1692" spans="1:12" ht="27" thickBot="1">
      <c r="A1692" s="72"/>
      <c r="B1692" s="74"/>
      <c r="C1692" s="71"/>
      <c r="D1692" s="71"/>
      <c r="E1692" s="72"/>
      <c r="F1692" s="70"/>
      <c r="G1692" s="72" t="str">
        <f t="shared" ca="1" si="52"/>
        <v/>
      </c>
      <c r="H1692" s="72"/>
      <c r="I1692" s="71"/>
      <c r="L1692" s="55" t="str">
        <f t="shared" ca="1" si="53"/>
        <v>NE</v>
      </c>
    </row>
    <row r="1693" spans="1:12" ht="27" thickBot="1">
      <c r="A1693" s="72"/>
      <c r="B1693" s="74"/>
      <c r="C1693" s="71"/>
      <c r="D1693" s="71"/>
      <c r="E1693" s="72"/>
      <c r="F1693" s="70"/>
      <c r="G1693" s="72" t="str">
        <f t="shared" ca="1" si="52"/>
        <v/>
      </c>
      <c r="H1693" s="72"/>
      <c r="I1693" s="71"/>
      <c r="L1693" s="55" t="str">
        <f t="shared" ca="1" si="53"/>
        <v>NE</v>
      </c>
    </row>
    <row r="1694" spans="1:12" ht="27" thickBot="1">
      <c r="A1694" s="72"/>
      <c r="B1694" s="74"/>
      <c r="C1694" s="71"/>
      <c r="D1694" s="71"/>
      <c r="E1694" s="72"/>
      <c r="F1694" s="70"/>
      <c r="G1694" s="72" t="str">
        <f t="shared" ca="1" si="52"/>
        <v/>
      </c>
      <c r="H1694" s="72"/>
      <c r="I1694" s="71"/>
      <c r="L1694" s="55" t="str">
        <f t="shared" ca="1" si="53"/>
        <v>NE</v>
      </c>
    </row>
    <row r="1695" spans="1:12" ht="27" thickBot="1">
      <c r="A1695" s="72"/>
      <c r="B1695" s="74"/>
      <c r="C1695" s="71"/>
      <c r="D1695" s="71"/>
      <c r="E1695" s="72"/>
      <c r="F1695" s="70"/>
      <c r="G1695" s="72" t="str">
        <f t="shared" ca="1" si="52"/>
        <v/>
      </c>
      <c r="H1695" s="72"/>
      <c r="I1695" s="71"/>
      <c r="L1695" s="55" t="str">
        <f t="shared" ca="1" si="53"/>
        <v>NE</v>
      </c>
    </row>
    <row r="1696" spans="1:12" ht="27" thickBot="1">
      <c r="A1696" s="72"/>
      <c r="B1696" s="74"/>
      <c r="C1696" s="71"/>
      <c r="D1696" s="71"/>
      <c r="E1696" s="72"/>
      <c r="F1696" s="70"/>
      <c r="G1696" s="72" t="str">
        <f t="shared" ca="1" si="52"/>
        <v/>
      </c>
      <c r="H1696" s="72"/>
      <c r="I1696" s="71"/>
      <c r="L1696" s="55" t="str">
        <f t="shared" ca="1" si="53"/>
        <v>NE</v>
      </c>
    </row>
    <row r="1697" spans="1:12" ht="27" thickBot="1">
      <c r="A1697" s="72"/>
      <c r="B1697" s="74"/>
      <c r="C1697" s="71"/>
      <c r="D1697" s="71"/>
      <c r="E1697" s="72"/>
      <c r="F1697" s="70"/>
      <c r="G1697" s="72" t="str">
        <f t="shared" ca="1" si="52"/>
        <v/>
      </c>
      <c r="H1697" s="72"/>
      <c r="I1697" s="71"/>
      <c r="L1697" s="55" t="str">
        <f t="shared" ca="1" si="53"/>
        <v>NE</v>
      </c>
    </row>
    <row r="1698" spans="1:12" ht="27" thickBot="1">
      <c r="A1698" s="72"/>
      <c r="B1698" s="74"/>
      <c r="C1698" s="71"/>
      <c r="D1698" s="71"/>
      <c r="E1698" s="72"/>
      <c r="F1698" s="70"/>
      <c r="G1698" s="72" t="str">
        <f t="shared" ca="1" si="52"/>
        <v/>
      </c>
      <c r="H1698" s="72"/>
      <c r="I1698" s="71"/>
      <c r="L1698" s="55" t="str">
        <f t="shared" ca="1" si="53"/>
        <v>NE</v>
      </c>
    </row>
    <row r="1699" spans="1:12" ht="27" thickBot="1">
      <c r="A1699" s="72"/>
      <c r="B1699" s="74"/>
      <c r="C1699" s="71"/>
      <c r="D1699" s="71"/>
      <c r="E1699" s="72"/>
      <c r="F1699" s="70"/>
      <c r="G1699" s="72" t="str">
        <f t="shared" ca="1" si="52"/>
        <v/>
      </c>
      <c r="H1699" s="72"/>
      <c r="I1699" s="71"/>
      <c r="L1699" s="55" t="str">
        <f t="shared" ca="1" si="53"/>
        <v>NE</v>
      </c>
    </row>
    <row r="1700" spans="1:12" ht="27" thickBot="1">
      <c r="A1700" s="72"/>
      <c r="B1700" s="74"/>
      <c r="C1700" s="71"/>
      <c r="D1700" s="71"/>
      <c r="E1700" s="72"/>
      <c r="F1700" s="70"/>
      <c r="G1700" s="72" t="str">
        <f t="shared" ca="1" si="52"/>
        <v/>
      </c>
      <c r="H1700" s="72"/>
      <c r="I1700" s="71"/>
      <c r="L1700" s="55" t="str">
        <f t="shared" ca="1" si="53"/>
        <v>NE</v>
      </c>
    </row>
    <row r="1701" spans="1:12" ht="27" thickBot="1">
      <c r="A1701" s="72"/>
      <c r="B1701" s="74"/>
      <c r="C1701" s="71"/>
      <c r="D1701" s="71"/>
      <c r="E1701" s="72"/>
      <c r="F1701" s="70"/>
      <c r="G1701" s="72" t="str">
        <f t="shared" ca="1" si="52"/>
        <v/>
      </c>
      <c r="H1701" s="72"/>
      <c r="I1701" s="71"/>
      <c r="L1701" s="55" t="str">
        <f t="shared" ca="1" si="53"/>
        <v>NE</v>
      </c>
    </row>
    <row r="1702" spans="1:12" ht="27" thickBot="1">
      <c r="A1702" s="72"/>
      <c r="B1702" s="74"/>
      <c r="C1702" s="71"/>
      <c r="D1702" s="71"/>
      <c r="E1702" s="72"/>
      <c r="F1702" s="70"/>
      <c r="G1702" s="72" t="str">
        <f t="shared" ca="1" si="52"/>
        <v/>
      </c>
      <c r="H1702" s="72"/>
      <c r="I1702" s="71"/>
      <c r="L1702" s="55" t="str">
        <f t="shared" ca="1" si="53"/>
        <v>NE</v>
      </c>
    </row>
    <row r="1703" spans="1:12" ht="27" thickBot="1">
      <c r="A1703" s="72"/>
      <c r="B1703" s="74"/>
      <c r="C1703" s="71"/>
      <c r="D1703" s="71"/>
      <c r="E1703" s="72"/>
      <c r="F1703" s="70"/>
      <c r="G1703" s="72" t="str">
        <f t="shared" ca="1" si="52"/>
        <v/>
      </c>
      <c r="H1703" s="72"/>
      <c r="I1703" s="71"/>
      <c r="L1703" s="55" t="str">
        <f t="shared" ca="1" si="53"/>
        <v>NE</v>
      </c>
    </row>
    <row r="1704" spans="1:12" ht="27" thickBot="1">
      <c r="A1704" s="72"/>
      <c r="B1704" s="74"/>
      <c r="C1704" s="71"/>
      <c r="D1704" s="71"/>
      <c r="E1704" s="72"/>
      <c r="F1704" s="70"/>
      <c r="G1704" s="72" t="str">
        <f t="shared" ca="1" si="52"/>
        <v/>
      </c>
      <c r="H1704" s="72"/>
      <c r="I1704" s="71"/>
      <c r="L1704" s="55" t="str">
        <f t="shared" ca="1" si="53"/>
        <v>NE</v>
      </c>
    </row>
    <row r="1705" spans="1:12" ht="27" thickBot="1">
      <c r="A1705" s="72"/>
      <c r="B1705" s="74"/>
      <c r="C1705" s="71"/>
      <c r="D1705" s="71"/>
      <c r="E1705" s="72"/>
      <c r="F1705" s="70"/>
      <c r="G1705" s="72" t="str">
        <f t="shared" ca="1" si="52"/>
        <v/>
      </c>
      <c r="H1705" s="72"/>
      <c r="I1705" s="71"/>
      <c r="L1705" s="55" t="str">
        <f t="shared" ca="1" si="53"/>
        <v>NE</v>
      </c>
    </row>
    <row r="1706" spans="1:12" ht="27" thickBot="1">
      <c r="A1706" s="72"/>
      <c r="B1706" s="74"/>
      <c r="C1706" s="71"/>
      <c r="D1706" s="71"/>
      <c r="E1706" s="72"/>
      <c r="F1706" s="70"/>
      <c r="G1706" s="72" t="str">
        <f t="shared" ca="1" si="52"/>
        <v/>
      </c>
      <c r="H1706" s="72"/>
      <c r="I1706" s="71"/>
      <c r="L1706" s="55" t="str">
        <f t="shared" ca="1" si="53"/>
        <v>NE</v>
      </c>
    </row>
    <row r="1707" spans="1:12" ht="27" thickBot="1">
      <c r="A1707" s="72"/>
      <c r="B1707" s="74"/>
      <c r="C1707" s="71"/>
      <c r="D1707" s="71"/>
      <c r="E1707" s="72"/>
      <c r="F1707" s="70"/>
      <c r="G1707" s="72" t="str">
        <f t="shared" ca="1" si="52"/>
        <v/>
      </c>
      <c r="H1707" s="72"/>
      <c r="I1707" s="71"/>
      <c r="L1707" s="55" t="str">
        <f t="shared" ca="1" si="53"/>
        <v>NE</v>
      </c>
    </row>
    <row r="1708" spans="1:12" ht="27" thickBot="1">
      <c r="A1708" s="72"/>
      <c r="B1708" s="74"/>
      <c r="C1708" s="71"/>
      <c r="D1708" s="71"/>
      <c r="E1708" s="72"/>
      <c r="F1708" s="70"/>
      <c r="G1708" s="72" t="str">
        <f t="shared" ca="1" si="52"/>
        <v/>
      </c>
      <c r="H1708" s="72"/>
      <c r="I1708" s="71"/>
      <c r="L1708" s="55" t="str">
        <f t="shared" ca="1" si="53"/>
        <v>NE</v>
      </c>
    </row>
    <row r="1709" spans="1:12" ht="27" thickBot="1">
      <c r="A1709" s="72"/>
      <c r="B1709" s="74"/>
      <c r="C1709" s="71"/>
      <c r="D1709" s="71"/>
      <c r="E1709" s="72"/>
      <c r="F1709" s="70"/>
      <c r="G1709" s="72" t="str">
        <f t="shared" ca="1" si="52"/>
        <v/>
      </c>
      <c r="H1709" s="72"/>
      <c r="I1709" s="71"/>
      <c r="L1709" s="55" t="str">
        <f t="shared" ca="1" si="53"/>
        <v>NE</v>
      </c>
    </row>
    <row r="1710" spans="1:12" ht="27" thickBot="1">
      <c r="A1710" s="72"/>
      <c r="B1710" s="74"/>
      <c r="C1710" s="71"/>
      <c r="D1710" s="71"/>
      <c r="E1710" s="72"/>
      <c r="F1710" s="70"/>
      <c r="G1710" s="72" t="str">
        <f t="shared" ref="G1710:G1773" ca="1" si="54">IF(ISBLANK(F1710),"",IF(F1710&gt;=TODAY(), "Non Echue", "Echue"))</f>
        <v/>
      </c>
      <c r="H1710" s="72"/>
      <c r="I1710" s="71"/>
      <c r="L1710" s="55" t="str">
        <f t="shared" ref="L1710:L1773" ca="1" si="55" xml:space="preserve"> IF(G1710 = "Echue",IF(H1710 = "Appliqué","EAP","NAP"),"NE")</f>
        <v>NE</v>
      </c>
    </row>
    <row r="1711" spans="1:12" ht="27" thickBot="1">
      <c r="A1711" s="72"/>
      <c r="B1711" s="74"/>
      <c r="C1711" s="71"/>
      <c r="D1711" s="71"/>
      <c r="E1711" s="72"/>
      <c r="F1711" s="70"/>
      <c r="G1711" s="72" t="str">
        <f t="shared" ca="1" si="54"/>
        <v/>
      </c>
      <c r="H1711" s="72"/>
      <c r="I1711" s="71"/>
      <c r="L1711" s="55" t="str">
        <f t="shared" ca="1" si="55"/>
        <v>NE</v>
      </c>
    </row>
    <row r="1712" spans="1:12" ht="27" thickBot="1">
      <c r="A1712" s="72"/>
      <c r="B1712" s="74"/>
      <c r="C1712" s="71"/>
      <c r="D1712" s="71"/>
      <c r="E1712" s="72"/>
      <c r="F1712" s="70"/>
      <c r="G1712" s="72" t="str">
        <f t="shared" ca="1" si="54"/>
        <v/>
      </c>
      <c r="H1712" s="72"/>
      <c r="I1712" s="71"/>
      <c r="L1712" s="55" t="str">
        <f t="shared" ca="1" si="55"/>
        <v>NE</v>
      </c>
    </row>
    <row r="1713" spans="1:12" ht="27" thickBot="1">
      <c r="A1713" s="72"/>
      <c r="B1713" s="74"/>
      <c r="C1713" s="71"/>
      <c r="D1713" s="71"/>
      <c r="E1713" s="72"/>
      <c r="F1713" s="70"/>
      <c r="G1713" s="72" t="str">
        <f t="shared" ca="1" si="54"/>
        <v/>
      </c>
      <c r="H1713" s="72"/>
      <c r="I1713" s="71"/>
      <c r="L1713" s="55" t="str">
        <f t="shared" ca="1" si="55"/>
        <v>NE</v>
      </c>
    </row>
    <row r="1714" spans="1:12" ht="27" thickBot="1">
      <c r="A1714" s="72"/>
      <c r="B1714" s="74"/>
      <c r="C1714" s="71"/>
      <c r="D1714" s="71"/>
      <c r="E1714" s="72"/>
      <c r="F1714" s="70"/>
      <c r="G1714" s="72" t="str">
        <f t="shared" ca="1" si="54"/>
        <v/>
      </c>
      <c r="H1714" s="72"/>
      <c r="I1714" s="71"/>
      <c r="L1714" s="55" t="str">
        <f t="shared" ca="1" si="55"/>
        <v>NE</v>
      </c>
    </row>
    <row r="1715" spans="1:12" ht="27" thickBot="1">
      <c r="A1715" s="72"/>
      <c r="B1715" s="74"/>
      <c r="C1715" s="71"/>
      <c r="D1715" s="71"/>
      <c r="E1715" s="72"/>
      <c r="F1715" s="70"/>
      <c r="G1715" s="72" t="str">
        <f t="shared" ca="1" si="54"/>
        <v/>
      </c>
      <c r="H1715" s="72"/>
      <c r="I1715" s="71"/>
      <c r="L1715" s="55" t="str">
        <f t="shared" ca="1" si="55"/>
        <v>NE</v>
      </c>
    </row>
    <row r="1716" spans="1:12" ht="27" thickBot="1">
      <c r="A1716" s="72"/>
      <c r="B1716" s="74"/>
      <c r="C1716" s="71"/>
      <c r="D1716" s="71"/>
      <c r="E1716" s="72"/>
      <c r="F1716" s="70"/>
      <c r="G1716" s="72" t="str">
        <f t="shared" ca="1" si="54"/>
        <v/>
      </c>
      <c r="H1716" s="72"/>
      <c r="I1716" s="71"/>
      <c r="L1716" s="55" t="str">
        <f t="shared" ca="1" si="55"/>
        <v>NE</v>
      </c>
    </row>
    <row r="1717" spans="1:12" ht="27" thickBot="1">
      <c r="A1717" s="72"/>
      <c r="B1717" s="74"/>
      <c r="C1717" s="71"/>
      <c r="D1717" s="71"/>
      <c r="E1717" s="72"/>
      <c r="F1717" s="70"/>
      <c r="G1717" s="72" t="str">
        <f t="shared" ca="1" si="54"/>
        <v/>
      </c>
      <c r="H1717" s="72"/>
      <c r="I1717" s="71"/>
      <c r="L1717" s="55" t="str">
        <f t="shared" ca="1" si="55"/>
        <v>NE</v>
      </c>
    </row>
    <row r="1718" spans="1:12" ht="27" thickBot="1">
      <c r="A1718" s="72"/>
      <c r="B1718" s="74"/>
      <c r="C1718" s="71"/>
      <c r="D1718" s="71"/>
      <c r="E1718" s="72"/>
      <c r="F1718" s="70"/>
      <c r="G1718" s="72" t="str">
        <f t="shared" ca="1" si="54"/>
        <v/>
      </c>
      <c r="H1718" s="72"/>
      <c r="I1718" s="71"/>
      <c r="L1718" s="55" t="str">
        <f t="shared" ca="1" si="55"/>
        <v>NE</v>
      </c>
    </row>
    <row r="1719" spans="1:12" ht="27" thickBot="1">
      <c r="A1719" s="72"/>
      <c r="B1719" s="74"/>
      <c r="C1719" s="71"/>
      <c r="D1719" s="71"/>
      <c r="E1719" s="72"/>
      <c r="F1719" s="70"/>
      <c r="G1719" s="72" t="str">
        <f t="shared" ca="1" si="54"/>
        <v/>
      </c>
      <c r="H1719" s="72"/>
      <c r="I1719" s="71"/>
      <c r="L1719" s="55" t="str">
        <f t="shared" ca="1" si="55"/>
        <v>NE</v>
      </c>
    </row>
    <row r="1720" spans="1:12" ht="27" thickBot="1">
      <c r="A1720" s="72"/>
      <c r="B1720" s="74"/>
      <c r="C1720" s="71"/>
      <c r="D1720" s="71"/>
      <c r="E1720" s="72"/>
      <c r="F1720" s="70"/>
      <c r="G1720" s="72" t="str">
        <f t="shared" ca="1" si="54"/>
        <v/>
      </c>
      <c r="H1720" s="72"/>
      <c r="I1720" s="71"/>
      <c r="L1720" s="55" t="str">
        <f t="shared" ca="1" si="55"/>
        <v>NE</v>
      </c>
    </row>
    <row r="1721" spans="1:12" ht="27" thickBot="1">
      <c r="A1721" s="72"/>
      <c r="B1721" s="74"/>
      <c r="C1721" s="71"/>
      <c r="D1721" s="71"/>
      <c r="E1721" s="72"/>
      <c r="F1721" s="70"/>
      <c r="G1721" s="72" t="str">
        <f t="shared" ca="1" si="54"/>
        <v/>
      </c>
      <c r="H1721" s="72"/>
      <c r="I1721" s="71"/>
      <c r="L1721" s="55" t="str">
        <f t="shared" ca="1" si="55"/>
        <v>NE</v>
      </c>
    </row>
    <row r="1722" spans="1:12" ht="27" thickBot="1">
      <c r="A1722" s="72"/>
      <c r="B1722" s="74"/>
      <c r="C1722" s="71"/>
      <c r="D1722" s="71"/>
      <c r="E1722" s="72"/>
      <c r="F1722" s="70"/>
      <c r="G1722" s="72" t="str">
        <f t="shared" ca="1" si="54"/>
        <v/>
      </c>
      <c r="H1722" s="72"/>
      <c r="I1722" s="71"/>
      <c r="L1722" s="55" t="str">
        <f t="shared" ca="1" si="55"/>
        <v>NE</v>
      </c>
    </row>
    <row r="1723" spans="1:12" ht="27" thickBot="1">
      <c r="A1723" s="72"/>
      <c r="B1723" s="74"/>
      <c r="C1723" s="71"/>
      <c r="D1723" s="71"/>
      <c r="E1723" s="72"/>
      <c r="F1723" s="70"/>
      <c r="G1723" s="72" t="str">
        <f t="shared" ca="1" si="54"/>
        <v/>
      </c>
      <c r="H1723" s="72"/>
      <c r="I1723" s="71"/>
      <c r="L1723" s="55" t="str">
        <f t="shared" ca="1" si="55"/>
        <v>NE</v>
      </c>
    </row>
    <row r="1724" spans="1:12" ht="27" thickBot="1">
      <c r="A1724" s="72"/>
      <c r="B1724" s="74"/>
      <c r="C1724" s="71"/>
      <c r="D1724" s="71"/>
      <c r="E1724" s="72"/>
      <c r="F1724" s="70"/>
      <c r="G1724" s="72" t="str">
        <f t="shared" ca="1" si="54"/>
        <v/>
      </c>
      <c r="H1724" s="72"/>
      <c r="I1724" s="71"/>
      <c r="L1724" s="55" t="str">
        <f t="shared" ca="1" si="55"/>
        <v>NE</v>
      </c>
    </row>
    <row r="1725" spans="1:12" ht="27" thickBot="1">
      <c r="A1725" s="72"/>
      <c r="B1725" s="74"/>
      <c r="C1725" s="71"/>
      <c r="D1725" s="71"/>
      <c r="E1725" s="72"/>
      <c r="F1725" s="70"/>
      <c r="G1725" s="72" t="str">
        <f t="shared" ca="1" si="54"/>
        <v/>
      </c>
      <c r="H1725" s="72"/>
      <c r="I1725" s="71"/>
      <c r="L1725" s="55" t="str">
        <f t="shared" ca="1" si="55"/>
        <v>NE</v>
      </c>
    </row>
    <row r="1726" spans="1:12" ht="27" thickBot="1">
      <c r="A1726" s="72"/>
      <c r="B1726" s="74"/>
      <c r="C1726" s="71"/>
      <c r="D1726" s="71"/>
      <c r="E1726" s="72"/>
      <c r="F1726" s="70"/>
      <c r="G1726" s="72" t="str">
        <f t="shared" ca="1" si="54"/>
        <v/>
      </c>
      <c r="H1726" s="72"/>
      <c r="I1726" s="71"/>
      <c r="L1726" s="55" t="str">
        <f t="shared" ca="1" si="55"/>
        <v>NE</v>
      </c>
    </row>
    <row r="1727" spans="1:12" ht="27" thickBot="1">
      <c r="A1727" s="72"/>
      <c r="B1727" s="74"/>
      <c r="C1727" s="71"/>
      <c r="D1727" s="71"/>
      <c r="E1727" s="72"/>
      <c r="F1727" s="70"/>
      <c r="G1727" s="72" t="str">
        <f t="shared" ca="1" si="54"/>
        <v/>
      </c>
      <c r="H1727" s="72"/>
      <c r="I1727" s="71"/>
      <c r="L1727" s="55" t="str">
        <f t="shared" ca="1" si="55"/>
        <v>NE</v>
      </c>
    </row>
    <row r="1728" spans="1:12" ht="27" thickBot="1">
      <c r="A1728" s="72"/>
      <c r="B1728" s="74"/>
      <c r="C1728" s="71"/>
      <c r="D1728" s="71"/>
      <c r="E1728" s="72"/>
      <c r="F1728" s="70"/>
      <c r="G1728" s="72" t="str">
        <f t="shared" ca="1" si="54"/>
        <v/>
      </c>
      <c r="H1728" s="72"/>
      <c r="I1728" s="71"/>
      <c r="L1728" s="55" t="str">
        <f t="shared" ca="1" si="55"/>
        <v>NE</v>
      </c>
    </row>
    <row r="1729" spans="1:12" ht="27" thickBot="1">
      <c r="A1729" s="72"/>
      <c r="B1729" s="74"/>
      <c r="C1729" s="71"/>
      <c r="D1729" s="71"/>
      <c r="E1729" s="72"/>
      <c r="F1729" s="70"/>
      <c r="G1729" s="72" t="str">
        <f t="shared" ca="1" si="54"/>
        <v/>
      </c>
      <c r="H1729" s="72"/>
      <c r="I1729" s="71"/>
      <c r="L1729" s="55" t="str">
        <f t="shared" ca="1" si="55"/>
        <v>NE</v>
      </c>
    </row>
    <row r="1730" spans="1:12" ht="27" thickBot="1">
      <c r="A1730" s="72"/>
      <c r="B1730" s="74"/>
      <c r="C1730" s="71"/>
      <c r="D1730" s="71"/>
      <c r="E1730" s="72"/>
      <c r="F1730" s="70"/>
      <c r="G1730" s="72" t="str">
        <f t="shared" ca="1" si="54"/>
        <v/>
      </c>
      <c r="H1730" s="72"/>
      <c r="I1730" s="71"/>
      <c r="L1730" s="55" t="str">
        <f t="shared" ca="1" si="55"/>
        <v>NE</v>
      </c>
    </row>
    <row r="1731" spans="1:12" ht="27" thickBot="1">
      <c r="A1731" s="72"/>
      <c r="B1731" s="74"/>
      <c r="C1731" s="71"/>
      <c r="D1731" s="71"/>
      <c r="E1731" s="72"/>
      <c r="F1731" s="70"/>
      <c r="G1731" s="72" t="str">
        <f t="shared" ca="1" si="54"/>
        <v/>
      </c>
      <c r="H1731" s="72"/>
      <c r="I1731" s="71"/>
      <c r="L1731" s="55" t="str">
        <f t="shared" ca="1" si="55"/>
        <v>NE</v>
      </c>
    </row>
    <row r="1732" spans="1:12" ht="27" thickBot="1">
      <c r="A1732" s="72"/>
      <c r="B1732" s="74"/>
      <c r="C1732" s="71"/>
      <c r="D1732" s="71"/>
      <c r="E1732" s="72"/>
      <c r="F1732" s="70"/>
      <c r="G1732" s="72" t="str">
        <f t="shared" ca="1" si="54"/>
        <v/>
      </c>
      <c r="H1732" s="72"/>
      <c r="I1732" s="71"/>
      <c r="L1732" s="55" t="str">
        <f t="shared" ca="1" si="55"/>
        <v>NE</v>
      </c>
    </row>
    <row r="1733" spans="1:12" ht="27" thickBot="1">
      <c r="A1733" s="72"/>
      <c r="B1733" s="74"/>
      <c r="C1733" s="71"/>
      <c r="D1733" s="71"/>
      <c r="E1733" s="72"/>
      <c r="F1733" s="70"/>
      <c r="G1733" s="72" t="str">
        <f t="shared" ca="1" si="54"/>
        <v/>
      </c>
      <c r="H1733" s="72"/>
      <c r="I1733" s="71"/>
      <c r="L1733" s="55" t="str">
        <f t="shared" ca="1" si="55"/>
        <v>NE</v>
      </c>
    </row>
    <row r="1734" spans="1:12" ht="27" thickBot="1">
      <c r="A1734" s="72"/>
      <c r="B1734" s="74"/>
      <c r="C1734" s="71"/>
      <c r="D1734" s="71"/>
      <c r="E1734" s="72"/>
      <c r="F1734" s="70"/>
      <c r="G1734" s="72" t="str">
        <f t="shared" ca="1" si="54"/>
        <v/>
      </c>
      <c r="H1734" s="72"/>
      <c r="I1734" s="71"/>
      <c r="L1734" s="55" t="str">
        <f t="shared" ca="1" si="55"/>
        <v>NE</v>
      </c>
    </row>
    <row r="1735" spans="1:12" ht="27" thickBot="1">
      <c r="A1735" s="72"/>
      <c r="B1735" s="74"/>
      <c r="C1735" s="71"/>
      <c r="D1735" s="71"/>
      <c r="E1735" s="72"/>
      <c r="F1735" s="70"/>
      <c r="G1735" s="72" t="str">
        <f t="shared" ca="1" si="54"/>
        <v/>
      </c>
      <c r="H1735" s="72"/>
      <c r="I1735" s="71"/>
      <c r="L1735" s="55" t="str">
        <f t="shared" ca="1" si="55"/>
        <v>NE</v>
      </c>
    </row>
    <row r="1736" spans="1:12" ht="27" thickBot="1">
      <c r="A1736" s="72"/>
      <c r="B1736" s="74"/>
      <c r="C1736" s="71"/>
      <c r="D1736" s="71"/>
      <c r="E1736" s="72"/>
      <c r="F1736" s="70"/>
      <c r="G1736" s="72" t="str">
        <f t="shared" ca="1" si="54"/>
        <v/>
      </c>
      <c r="H1736" s="72"/>
      <c r="I1736" s="71"/>
      <c r="L1736" s="55" t="str">
        <f t="shared" ca="1" si="55"/>
        <v>NE</v>
      </c>
    </row>
    <row r="1737" spans="1:12" ht="27" thickBot="1">
      <c r="A1737" s="72"/>
      <c r="B1737" s="74"/>
      <c r="C1737" s="71"/>
      <c r="D1737" s="71"/>
      <c r="E1737" s="72"/>
      <c r="F1737" s="70"/>
      <c r="G1737" s="72" t="str">
        <f t="shared" ca="1" si="54"/>
        <v/>
      </c>
      <c r="H1737" s="72"/>
      <c r="I1737" s="71"/>
      <c r="L1737" s="55" t="str">
        <f t="shared" ca="1" si="55"/>
        <v>NE</v>
      </c>
    </row>
    <row r="1738" spans="1:12" ht="27" thickBot="1">
      <c r="A1738" s="72"/>
      <c r="B1738" s="74"/>
      <c r="C1738" s="71"/>
      <c r="D1738" s="71"/>
      <c r="E1738" s="72"/>
      <c r="F1738" s="70"/>
      <c r="G1738" s="72" t="str">
        <f t="shared" ca="1" si="54"/>
        <v/>
      </c>
      <c r="H1738" s="72"/>
      <c r="I1738" s="71"/>
      <c r="L1738" s="55" t="str">
        <f t="shared" ca="1" si="55"/>
        <v>NE</v>
      </c>
    </row>
    <row r="1739" spans="1:12" ht="27" thickBot="1">
      <c r="A1739" s="72"/>
      <c r="B1739" s="74"/>
      <c r="C1739" s="71"/>
      <c r="D1739" s="71"/>
      <c r="E1739" s="72"/>
      <c r="F1739" s="70"/>
      <c r="G1739" s="72" t="str">
        <f t="shared" ca="1" si="54"/>
        <v/>
      </c>
      <c r="H1739" s="72"/>
      <c r="I1739" s="71"/>
      <c r="L1739" s="55" t="str">
        <f t="shared" ca="1" si="55"/>
        <v>NE</v>
      </c>
    </row>
    <row r="1740" spans="1:12" ht="27" thickBot="1">
      <c r="A1740" s="72"/>
      <c r="B1740" s="74"/>
      <c r="C1740" s="71"/>
      <c r="D1740" s="71"/>
      <c r="E1740" s="72"/>
      <c r="F1740" s="70"/>
      <c r="G1740" s="72" t="str">
        <f t="shared" ca="1" si="54"/>
        <v/>
      </c>
      <c r="H1740" s="72"/>
      <c r="I1740" s="71"/>
      <c r="L1740" s="55" t="str">
        <f t="shared" ca="1" si="55"/>
        <v>NE</v>
      </c>
    </row>
    <row r="1741" spans="1:12" ht="27" thickBot="1">
      <c r="A1741" s="72"/>
      <c r="B1741" s="74"/>
      <c r="C1741" s="71"/>
      <c r="D1741" s="71"/>
      <c r="E1741" s="72"/>
      <c r="F1741" s="70"/>
      <c r="G1741" s="72" t="str">
        <f t="shared" ca="1" si="54"/>
        <v/>
      </c>
      <c r="H1741" s="72"/>
      <c r="I1741" s="71"/>
      <c r="L1741" s="55" t="str">
        <f t="shared" ca="1" si="55"/>
        <v>NE</v>
      </c>
    </row>
    <row r="1742" spans="1:12" ht="27" thickBot="1">
      <c r="A1742" s="72"/>
      <c r="B1742" s="74"/>
      <c r="C1742" s="71"/>
      <c r="D1742" s="71"/>
      <c r="E1742" s="72"/>
      <c r="F1742" s="70"/>
      <c r="G1742" s="72" t="str">
        <f t="shared" ca="1" si="54"/>
        <v/>
      </c>
      <c r="H1742" s="72"/>
      <c r="I1742" s="71"/>
      <c r="L1742" s="55" t="str">
        <f t="shared" ca="1" si="55"/>
        <v>NE</v>
      </c>
    </row>
    <row r="1743" spans="1:12" ht="27" thickBot="1">
      <c r="A1743" s="72"/>
      <c r="B1743" s="74"/>
      <c r="C1743" s="71"/>
      <c r="D1743" s="71"/>
      <c r="E1743" s="72"/>
      <c r="F1743" s="70"/>
      <c r="G1743" s="72" t="str">
        <f t="shared" ca="1" si="54"/>
        <v/>
      </c>
      <c r="H1743" s="72"/>
      <c r="I1743" s="71"/>
      <c r="L1743" s="55" t="str">
        <f t="shared" ca="1" si="55"/>
        <v>NE</v>
      </c>
    </row>
    <row r="1744" spans="1:12" ht="27" thickBot="1">
      <c r="A1744" s="72"/>
      <c r="B1744" s="74"/>
      <c r="C1744" s="71"/>
      <c r="D1744" s="71"/>
      <c r="E1744" s="72"/>
      <c r="F1744" s="70"/>
      <c r="G1744" s="72" t="str">
        <f t="shared" ca="1" si="54"/>
        <v/>
      </c>
      <c r="H1744" s="72"/>
      <c r="I1744" s="71"/>
      <c r="L1744" s="55" t="str">
        <f t="shared" ca="1" si="55"/>
        <v>NE</v>
      </c>
    </row>
    <row r="1745" spans="1:12" ht="27" thickBot="1">
      <c r="A1745" s="72"/>
      <c r="B1745" s="74"/>
      <c r="C1745" s="71"/>
      <c r="D1745" s="71"/>
      <c r="E1745" s="72"/>
      <c r="F1745" s="70"/>
      <c r="G1745" s="72" t="str">
        <f t="shared" ca="1" si="54"/>
        <v/>
      </c>
      <c r="H1745" s="72"/>
      <c r="I1745" s="71"/>
      <c r="L1745" s="55" t="str">
        <f t="shared" ca="1" si="55"/>
        <v>NE</v>
      </c>
    </row>
    <row r="1746" spans="1:12" ht="27" thickBot="1">
      <c r="A1746" s="72"/>
      <c r="B1746" s="74"/>
      <c r="C1746" s="71"/>
      <c r="D1746" s="71"/>
      <c r="E1746" s="72"/>
      <c r="F1746" s="70"/>
      <c r="G1746" s="72" t="str">
        <f t="shared" ca="1" si="54"/>
        <v/>
      </c>
      <c r="H1746" s="72"/>
      <c r="I1746" s="71"/>
      <c r="L1746" s="55" t="str">
        <f t="shared" ca="1" si="55"/>
        <v>NE</v>
      </c>
    </row>
    <row r="1747" spans="1:12" ht="27" thickBot="1">
      <c r="A1747" s="72"/>
      <c r="B1747" s="74"/>
      <c r="C1747" s="71"/>
      <c r="D1747" s="71"/>
      <c r="E1747" s="72"/>
      <c r="F1747" s="70"/>
      <c r="G1747" s="72" t="str">
        <f t="shared" ca="1" si="54"/>
        <v/>
      </c>
      <c r="H1747" s="72"/>
      <c r="I1747" s="71"/>
      <c r="L1747" s="55" t="str">
        <f t="shared" ca="1" si="55"/>
        <v>NE</v>
      </c>
    </row>
    <row r="1748" spans="1:12" ht="27" thickBot="1">
      <c r="A1748" s="72"/>
      <c r="B1748" s="74"/>
      <c r="C1748" s="71"/>
      <c r="D1748" s="71"/>
      <c r="E1748" s="72"/>
      <c r="F1748" s="70"/>
      <c r="G1748" s="72" t="str">
        <f t="shared" ca="1" si="54"/>
        <v/>
      </c>
      <c r="H1748" s="72"/>
      <c r="I1748" s="71"/>
      <c r="L1748" s="55" t="str">
        <f t="shared" ca="1" si="55"/>
        <v>NE</v>
      </c>
    </row>
    <row r="1749" spans="1:12" ht="27" thickBot="1">
      <c r="A1749" s="72"/>
      <c r="B1749" s="74"/>
      <c r="C1749" s="71"/>
      <c r="D1749" s="71"/>
      <c r="E1749" s="72"/>
      <c r="F1749" s="70"/>
      <c r="G1749" s="72" t="str">
        <f t="shared" ca="1" si="54"/>
        <v/>
      </c>
      <c r="H1749" s="72"/>
      <c r="I1749" s="71"/>
      <c r="L1749" s="55" t="str">
        <f t="shared" ca="1" si="55"/>
        <v>NE</v>
      </c>
    </row>
    <row r="1750" spans="1:12" ht="27" thickBot="1">
      <c r="A1750" s="72"/>
      <c r="B1750" s="74"/>
      <c r="C1750" s="71"/>
      <c r="D1750" s="71"/>
      <c r="E1750" s="72"/>
      <c r="F1750" s="70"/>
      <c r="G1750" s="72" t="str">
        <f t="shared" ca="1" si="54"/>
        <v/>
      </c>
      <c r="H1750" s="72"/>
      <c r="I1750" s="71"/>
      <c r="L1750" s="55" t="str">
        <f t="shared" ca="1" si="55"/>
        <v>NE</v>
      </c>
    </row>
    <row r="1751" spans="1:12" ht="27" thickBot="1">
      <c r="A1751" s="72"/>
      <c r="B1751" s="74"/>
      <c r="C1751" s="71"/>
      <c r="D1751" s="71"/>
      <c r="E1751" s="72"/>
      <c r="F1751" s="70"/>
      <c r="G1751" s="72" t="str">
        <f t="shared" ca="1" si="54"/>
        <v/>
      </c>
      <c r="H1751" s="72"/>
      <c r="I1751" s="71"/>
      <c r="L1751" s="55" t="str">
        <f t="shared" ca="1" si="55"/>
        <v>NE</v>
      </c>
    </row>
    <row r="1752" spans="1:12" ht="27" thickBot="1">
      <c r="A1752" s="72"/>
      <c r="B1752" s="74"/>
      <c r="C1752" s="71"/>
      <c r="D1752" s="71"/>
      <c r="E1752" s="72"/>
      <c r="F1752" s="70"/>
      <c r="G1752" s="72" t="str">
        <f t="shared" ca="1" si="54"/>
        <v/>
      </c>
      <c r="H1752" s="72"/>
      <c r="I1752" s="71"/>
      <c r="L1752" s="55" t="str">
        <f t="shared" ca="1" si="55"/>
        <v>NE</v>
      </c>
    </row>
    <row r="1753" spans="1:12" ht="27" thickBot="1">
      <c r="A1753" s="72"/>
      <c r="B1753" s="74"/>
      <c r="C1753" s="71"/>
      <c r="D1753" s="71"/>
      <c r="E1753" s="72"/>
      <c r="F1753" s="70"/>
      <c r="G1753" s="72" t="str">
        <f t="shared" ca="1" si="54"/>
        <v/>
      </c>
      <c r="H1753" s="72"/>
      <c r="I1753" s="71"/>
      <c r="L1753" s="55" t="str">
        <f t="shared" ca="1" si="55"/>
        <v>NE</v>
      </c>
    </row>
    <row r="1754" spans="1:12" ht="27" thickBot="1">
      <c r="A1754" s="72"/>
      <c r="B1754" s="74"/>
      <c r="C1754" s="71"/>
      <c r="D1754" s="71"/>
      <c r="E1754" s="72"/>
      <c r="F1754" s="70"/>
      <c r="G1754" s="72" t="str">
        <f t="shared" ca="1" si="54"/>
        <v/>
      </c>
      <c r="H1754" s="72"/>
      <c r="I1754" s="71"/>
      <c r="L1754" s="55" t="str">
        <f t="shared" ca="1" si="55"/>
        <v>NE</v>
      </c>
    </row>
    <row r="1755" spans="1:12" ht="27" thickBot="1">
      <c r="A1755" s="72"/>
      <c r="B1755" s="74"/>
      <c r="C1755" s="71"/>
      <c r="D1755" s="71"/>
      <c r="E1755" s="72"/>
      <c r="F1755" s="70"/>
      <c r="G1755" s="72" t="str">
        <f t="shared" ca="1" si="54"/>
        <v/>
      </c>
      <c r="H1755" s="72"/>
      <c r="I1755" s="71"/>
      <c r="L1755" s="55" t="str">
        <f t="shared" ca="1" si="55"/>
        <v>NE</v>
      </c>
    </row>
    <row r="1756" spans="1:12" ht="27" thickBot="1">
      <c r="A1756" s="72"/>
      <c r="B1756" s="74"/>
      <c r="C1756" s="71"/>
      <c r="D1756" s="71"/>
      <c r="E1756" s="72"/>
      <c r="F1756" s="70"/>
      <c r="G1756" s="72" t="str">
        <f t="shared" ca="1" si="54"/>
        <v/>
      </c>
      <c r="H1756" s="72"/>
      <c r="I1756" s="71"/>
      <c r="L1756" s="55" t="str">
        <f t="shared" ca="1" si="55"/>
        <v>NE</v>
      </c>
    </row>
    <row r="1757" spans="1:12" ht="27" thickBot="1">
      <c r="A1757" s="72"/>
      <c r="B1757" s="74"/>
      <c r="C1757" s="71"/>
      <c r="D1757" s="71"/>
      <c r="E1757" s="72"/>
      <c r="F1757" s="70"/>
      <c r="G1757" s="72" t="str">
        <f t="shared" ca="1" si="54"/>
        <v/>
      </c>
      <c r="H1757" s="72"/>
      <c r="I1757" s="71"/>
      <c r="L1757" s="55" t="str">
        <f t="shared" ca="1" si="55"/>
        <v>NE</v>
      </c>
    </row>
    <row r="1758" spans="1:12" ht="27" thickBot="1">
      <c r="A1758" s="72"/>
      <c r="B1758" s="74"/>
      <c r="C1758" s="71"/>
      <c r="D1758" s="71"/>
      <c r="E1758" s="72"/>
      <c r="F1758" s="70"/>
      <c r="G1758" s="72" t="str">
        <f t="shared" ca="1" si="54"/>
        <v/>
      </c>
      <c r="H1758" s="72"/>
      <c r="I1758" s="71"/>
      <c r="L1758" s="55" t="str">
        <f t="shared" ca="1" si="55"/>
        <v>NE</v>
      </c>
    </row>
    <row r="1759" spans="1:12" ht="27" thickBot="1">
      <c r="A1759" s="72"/>
      <c r="B1759" s="74"/>
      <c r="C1759" s="71"/>
      <c r="D1759" s="71"/>
      <c r="E1759" s="72"/>
      <c r="F1759" s="70"/>
      <c r="G1759" s="72" t="str">
        <f t="shared" ca="1" si="54"/>
        <v/>
      </c>
      <c r="H1759" s="72"/>
      <c r="I1759" s="71"/>
      <c r="L1759" s="55" t="str">
        <f t="shared" ca="1" si="55"/>
        <v>NE</v>
      </c>
    </row>
    <row r="1760" spans="1:12" ht="27" thickBot="1">
      <c r="A1760" s="72"/>
      <c r="B1760" s="74"/>
      <c r="C1760" s="71"/>
      <c r="D1760" s="71"/>
      <c r="E1760" s="72"/>
      <c r="F1760" s="70"/>
      <c r="G1760" s="72" t="str">
        <f t="shared" ca="1" si="54"/>
        <v/>
      </c>
      <c r="H1760" s="72"/>
      <c r="I1760" s="71"/>
      <c r="L1760" s="55" t="str">
        <f t="shared" ca="1" si="55"/>
        <v>NE</v>
      </c>
    </row>
    <row r="1761" spans="1:12" ht="27" thickBot="1">
      <c r="A1761" s="72"/>
      <c r="B1761" s="74"/>
      <c r="C1761" s="71"/>
      <c r="D1761" s="71"/>
      <c r="E1761" s="72"/>
      <c r="F1761" s="70"/>
      <c r="G1761" s="72" t="str">
        <f t="shared" ca="1" si="54"/>
        <v/>
      </c>
      <c r="H1761" s="72"/>
      <c r="I1761" s="71"/>
      <c r="L1761" s="55" t="str">
        <f t="shared" ca="1" si="55"/>
        <v>NE</v>
      </c>
    </row>
    <row r="1762" spans="1:12" ht="27" thickBot="1">
      <c r="A1762" s="72"/>
      <c r="B1762" s="74"/>
      <c r="C1762" s="71"/>
      <c r="D1762" s="71"/>
      <c r="E1762" s="72"/>
      <c r="F1762" s="70"/>
      <c r="G1762" s="72" t="str">
        <f t="shared" ca="1" si="54"/>
        <v/>
      </c>
      <c r="H1762" s="72"/>
      <c r="I1762" s="71"/>
      <c r="L1762" s="55" t="str">
        <f t="shared" ca="1" si="55"/>
        <v>NE</v>
      </c>
    </row>
    <row r="1763" spans="1:12" ht="27" thickBot="1">
      <c r="A1763" s="72"/>
      <c r="B1763" s="74"/>
      <c r="C1763" s="71"/>
      <c r="D1763" s="71"/>
      <c r="E1763" s="72"/>
      <c r="F1763" s="70"/>
      <c r="G1763" s="72" t="str">
        <f t="shared" ca="1" si="54"/>
        <v/>
      </c>
      <c r="H1763" s="72"/>
      <c r="I1763" s="71"/>
      <c r="L1763" s="55" t="str">
        <f t="shared" ca="1" si="55"/>
        <v>NE</v>
      </c>
    </row>
    <row r="1764" spans="1:12" ht="27" thickBot="1">
      <c r="A1764" s="72"/>
      <c r="B1764" s="74"/>
      <c r="C1764" s="71"/>
      <c r="D1764" s="71"/>
      <c r="E1764" s="72"/>
      <c r="F1764" s="70"/>
      <c r="G1764" s="72" t="str">
        <f t="shared" ca="1" si="54"/>
        <v/>
      </c>
      <c r="H1764" s="72"/>
      <c r="I1764" s="71"/>
      <c r="L1764" s="55" t="str">
        <f t="shared" ca="1" si="55"/>
        <v>NE</v>
      </c>
    </row>
    <row r="1765" spans="1:12" ht="27" thickBot="1">
      <c r="A1765" s="72"/>
      <c r="B1765" s="74"/>
      <c r="C1765" s="71"/>
      <c r="D1765" s="71"/>
      <c r="E1765" s="72"/>
      <c r="F1765" s="70"/>
      <c r="G1765" s="72" t="str">
        <f t="shared" ca="1" si="54"/>
        <v/>
      </c>
      <c r="H1765" s="72"/>
      <c r="I1765" s="71"/>
      <c r="L1765" s="55" t="str">
        <f t="shared" ca="1" si="55"/>
        <v>NE</v>
      </c>
    </row>
    <row r="1766" spans="1:12" ht="27" thickBot="1">
      <c r="A1766" s="72"/>
      <c r="B1766" s="74"/>
      <c r="C1766" s="71"/>
      <c r="D1766" s="71"/>
      <c r="E1766" s="72"/>
      <c r="F1766" s="70"/>
      <c r="G1766" s="72" t="str">
        <f t="shared" ca="1" si="54"/>
        <v/>
      </c>
      <c r="H1766" s="72"/>
      <c r="I1766" s="71"/>
      <c r="L1766" s="55" t="str">
        <f t="shared" ca="1" si="55"/>
        <v>NE</v>
      </c>
    </row>
    <row r="1767" spans="1:12" ht="27" thickBot="1">
      <c r="A1767" s="72"/>
      <c r="B1767" s="74"/>
      <c r="C1767" s="71"/>
      <c r="D1767" s="71"/>
      <c r="E1767" s="72"/>
      <c r="F1767" s="70"/>
      <c r="G1767" s="72" t="str">
        <f t="shared" ca="1" si="54"/>
        <v/>
      </c>
      <c r="H1767" s="72"/>
      <c r="I1767" s="71"/>
      <c r="L1767" s="55" t="str">
        <f t="shared" ca="1" si="55"/>
        <v>NE</v>
      </c>
    </row>
    <row r="1768" spans="1:12" ht="27" thickBot="1">
      <c r="A1768" s="72"/>
      <c r="B1768" s="74"/>
      <c r="C1768" s="71"/>
      <c r="D1768" s="71"/>
      <c r="E1768" s="72"/>
      <c r="F1768" s="70"/>
      <c r="G1768" s="72" t="str">
        <f t="shared" ca="1" si="54"/>
        <v/>
      </c>
      <c r="H1768" s="72"/>
      <c r="I1768" s="71"/>
      <c r="L1768" s="55" t="str">
        <f t="shared" ca="1" si="55"/>
        <v>NE</v>
      </c>
    </row>
    <row r="1769" spans="1:12" ht="27" thickBot="1">
      <c r="A1769" s="72"/>
      <c r="B1769" s="74"/>
      <c r="C1769" s="71"/>
      <c r="D1769" s="71"/>
      <c r="E1769" s="72"/>
      <c r="F1769" s="70"/>
      <c r="G1769" s="72" t="str">
        <f t="shared" ca="1" si="54"/>
        <v/>
      </c>
      <c r="H1769" s="72"/>
      <c r="I1769" s="71"/>
      <c r="L1769" s="55" t="str">
        <f t="shared" ca="1" si="55"/>
        <v>NE</v>
      </c>
    </row>
    <row r="1770" spans="1:12" ht="27" thickBot="1">
      <c r="A1770" s="72"/>
      <c r="B1770" s="74"/>
      <c r="C1770" s="71"/>
      <c r="D1770" s="71"/>
      <c r="E1770" s="72"/>
      <c r="F1770" s="70"/>
      <c r="G1770" s="72" t="str">
        <f t="shared" ca="1" si="54"/>
        <v/>
      </c>
      <c r="H1770" s="72"/>
      <c r="I1770" s="71"/>
      <c r="L1770" s="55" t="str">
        <f t="shared" ca="1" si="55"/>
        <v>NE</v>
      </c>
    </row>
    <row r="1771" spans="1:12" ht="27" thickBot="1">
      <c r="A1771" s="72"/>
      <c r="B1771" s="74"/>
      <c r="C1771" s="71"/>
      <c r="D1771" s="71"/>
      <c r="E1771" s="72"/>
      <c r="F1771" s="70"/>
      <c r="G1771" s="72" t="str">
        <f t="shared" ca="1" si="54"/>
        <v/>
      </c>
      <c r="H1771" s="72"/>
      <c r="I1771" s="71"/>
      <c r="L1771" s="55" t="str">
        <f t="shared" ca="1" si="55"/>
        <v>NE</v>
      </c>
    </row>
    <row r="1772" spans="1:12" ht="27" thickBot="1">
      <c r="A1772" s="72"/>
      <c r="B1772" s="74"/>
      <c r="C1772" s="71"/>
      <c r="D1772" s="71"/>
      <c r="E1772" s="72"/>
      <c r="F1772" s="70"/>
      <c r="G1772" s="72" t="str">
        <f t="shared" ca="1" si="54"/>
        <v/>
      </c>
      <c r="H1772" s="72"/>
      <c r="I1772" s="71"/>
      <c r="L1772" s="55" t="str">
        <f t="shared" ca="1" si="55"/>
        <v>NE</v>
      </c>
    </row>
    <row r="1773" spans="1:12" ht="27" thickBot="1">
      <c r="A1773" s="72"/>
      <c r="B1773" s="74"/>
      <c r="C1773" s="71"/>
      <c r="D1773" s="71"/>
      <c r="E1773" s="72"/>
      <c r="F1773" s="70"/>
      <c r="G1773" s="72" t="str">
        <f t="shared" ca="1" si="54"/>
        <v/>
      </c>
      <c r="H1773" s="72"/>
      <c r="I1773" s="71"/>
      <c r="L1773" s="55" t="str">
        <f t="shared" ca="1" si="55"/>
        <v>NE</v>
      </c>
    </row>
    <row r="1774" spans="1:12" ht="27" thickBot="1">
      <c r="A1774" s="72"/>
      <c r="B1774" s="74"/>
      <c r="C1774" s="71"/>
      <c r="D1774" s="71"/>
      <c r="E1774" s="72"/>
      <c r="F1774" s="70"/>
      <c r="G1774" s="72" t="str">
        <f t="shared" ref="G1774:G1837" ca="1" si="56">IF(ISBLANK(F1774),"",IF(F1774&gt;=TODAY(), "Non Echue", "Echue"))</f>
        <v/>
      </c>
      <c r="H1774" s="72"/>
      <c r="I1774" s="71"/>
      <c r="L1774" s="55" t="str">
        <f t="shared" ref="L1774:L1837" ca="1" si="57" xml:space="preserve"> IF(G1774 = "Echue",IF(H1774 = "Appliqué","EAP","NAP"),"NE")</f>
        <v>NE</v>
      </c>
    </row>
    <row r="1775" spans="1:12" ht="27" thickBot="1">
      <c r="A1775" s="72"/>
      <c r="B1775" s="74"/>
      <c r="C1775" s="71"/>
      <c r="D1775" s="71"/>
      <c r="E1775" s="72"/>
      <c r="F1775" s="70"/>
      <c r="G1775" s="72" t="str">
        <f t="shared" ca="1" si="56"/>
        <v/>
      </c>
      <c r="H1775" s="72"/>
      <c r="I1775" s="71"/>
      <c r="L1775" s="55" t="str">
        <f t="shared" ca="1" si="57"/>
        <v>NE</v>
      </c>
    </row>
    <row r="1776" spans="1:12" ht="27" thickBot="1">
      <c r="A1776" s="72"/>
      <c r="B1776" s="74"/>
      <c r="C1776" s="71"/>
      <c r="D1776" s="71"/>
      <c r="E1776" s="72"/>
      <c r="F1776" s="70"/>
      <c r="G1776" s="72" t="str">
        <f t="shared" ca="1" si="56"/>
        <v/>
      </c>
      <c r="H1776" s="72"/>
      <c r="I1776" s="71"/>
      <c r="L1776" s="55" t="str">
        <f t="shared" ca="1" si="57"/>
        <v>NE</v>
      </c>
    </row>
    <row r="1777" spans="1:12" ht="27" thickBot="1">
      <c r="A1777" s="72"/>
      <c r="B1777" s="74"/>
      <c r="C1777" s="71"/>
      <c r="D1777" s="71"/>
      <c r="E1777" s="72"/>
      <c r="F1777" s="70"/>
      <c r="G1777" s="72" t="str">
        <f t="shared" ca="1" si="56"/>
        <v/>
      </c>
      <c r="H1777" s="72"/>
      <c r="I1777" s="71"/>
      <c r="L1777" s="55" t="str">
        <f t="shared" ca="1" si="57"/>
        <v>NE</v>
      </c>
    </row>
    <row r="1778" spans="1:12" ht="27" thickBot="1">
      <c r="A1778" s="72"/>
      <c r="B1778" s="74"/>
      <c r="C1778" s="71"/>
      <c r="D1778" s="71"/>
      <c r="E1778" s="72"/>
      <c r="F1778" s="70"/>
      <c r="G1778" s="72" t="str">
        <f t="shared" ca="1" si="56"/>
        <v/>
      </c>
      <c r="H1778" s="72"/>
      <c r="I1778" s="71"/>
      <c r="L1778" s="55" t="str">
        <f t="shared" ca="1" si="57"/>
        <v>NE</v>
      </c>
    </row>
    <row r="1779" spans="1:12" ht="27" thickBot="1">
      <c r="A1779" s="72"/>
      <c r="B1779" s="74"/>
      <c r="C1779" s="71"/>
      <c r="D1779" s="71"/>
      <c r="E1779" s="72"/>
      <c r="F1779" s="70"/>
      <c r="G1779" s="72" t="str">
        <f t="shared" ca="1" si="56"/>
        <v/>
      </c>
      <c r="H1779" s="72"/>
      <c r="I1779" s="71"/>
      <c r="L1779" s="55" t="str">
        <f t="shared" ca="1" si="57"/>
        <v>NE</v>
      </c>
    </row>
    <row r="1780" spans="1:12" ht="27" thickBot="1">
      <c r="A1780" s="72"/>
      <c r="B1780" s="74"/>
      <c r="C1780" s="71"/>
      <c r="D1780" s="71"/>
      <c r="E1780" s="72"/>
      <c r="F1780" s="70"/>
      <c r="G1780" s="72" t="str">
        <f t="shared" ca="1" si="56"/>
        <v/>
      </c>
      <c r="H1780" s="72"/>
      <c r="I1780" s="71"/>
      <c r="L1780" s="55" t="str">
        <f t="shared" ca="1" si="57"/>
        <v>NE</v>
      </c>
    </row>
    <row r="1781" spans="1:12" ht="27" thickBot="1">
      <c r="A1781" s="72"/>
      <c r="B1781" s="74"/>
      <c r="C1781" s="71"/>
      <c r="D1781" s="71"/>
      <c r="E1781" s="72"/>
      <c r="F1781" s="70"/>
      <c r="G1781" s="72" t="str">
        <f t="shared" ca="1" si="56"/>
        <v/>
      </c>
      <c r="H1781" s="72"/>
      <c r="I1781" s="71"/>
      <c r="L1781" s="55" t="str">
        <f t="shared" ca="1" si="57"/>
        <v>NE</v>
      </c>
    </row>
    <row r="1782" spans="1:12" ht="27" thickBot="1">
      <c r="A1782" s="72"/>
      <c r="B1782" s="74"/>
      <c r="C1782" s="71"/>
      <c r="D1782" s="71"/>
      <c r="E1782" s="72"/>
      <c r="F1782" s="70"/>
      <c r="G1782" s="72" t="str">
        <f t="shared" ca="1" si="56"/>
        <v/>
      </c>
      <c r="H1782" s="72"/>
      <c r="I1782" s="71"/>
      <c r="L1782" s="55" t="str">
        <f t="shared" ca="1" si="57"/>
        <v>NE</v>
      </c>
    </row>
    <row r="1783" spans="1:12" ht="27" thickBot="1">
      <c r="A1783" s="72"/>
      <c r="B1783" s="74"/>
      <c r="C1783" s="71"/>
      <c r="D1783" s="71"/>
      <c r="E1783" s="72"/>
      <c r="F1783" s="70"/>
      <c r="G1783" s="72" t="str">
        <f t="shared" ca="1" si="56"/>
        <v/>
      </c>
      <c r="H1783" s="72"/>
      <c r="I1783" s="71"/>
      <c r="L1783" s="55" t="str">
        <f t="shared" ca="1" si="57"/>
        <v>NE</v>
      </c>
    </row>
    <row r="1784" spans="1:12" ht="27" thickBot="1">
      <c r="A1784" s="72"/>
      <c r="B1784" s="74"/>
      <c r="C1784" s="71"/>
      <c r="D1784" s="71"/>
      <c r="E1784" s="72"/>
      <c r="F1784" s="70"/>
      <c r="G1784" s="72" t="str">
        <f t="shared" ca="1" si="56"/>
        <v/>
      </c>
      <c r="H1784" s="72"/>
      <c r="I1784" s="71"/>
      <c r="L1784" s="55" t="str">
        <f t="shared" ca="1" si="57"/>
        <v>NE</v>
      </c>
    </row>
    <row r="1785" spans="1:12" ht="27" thickBot="1">
      <c r="A1785" s="72"/>
      <c r="B1785" s="74"/>
      <c r="C1785" s="71"/>
      <c r="D1785" s="71"/>
      <c r="E1785" s="72"/>
      <c r="F1785" s="70"/>
      <c r="G1785" s="72" t="str">
        <f t="shared" ca="1" si="56"/>
        <v/>
      </c>
      <c r="H1785" s="72"/>
      <c r="I1785" s="71"/>
      <c r="L1785" s="55" t="str">
        <f t="shared" ca="1" si="57"/>
        <v>NE</v>
      </c>
    </row>
    <row r="1786" spans="1:12" ht="27" thickBot="1">
      <c r="A1786" s="72"/>
      <c r="B1786" s="74"/>
      <c r="C1786" s="71"/>
      <c r="D1786" s="71"/>
      <c r="E1786" s="72"/>
      <c r="F1786" s="70"/>
      <c r="G1786" s="72" t="str">
        <f t="shared" ca="1" si="56"/>
        <v/>
      </c>
      <c r="H1786" s="72"/>
      <c r="I1786" s="71"/>
      <c r="L1786" s="55" t="str">
        <f t="shared" ca="1" si="57"/>
        <v>NE</v>
      </c>
    </row>
    <row r="1787" spans="1:12" ht="27" thickBot="1">
      <c r="A1787" s="72"/>
      <c r="B1787" s="74"/>
      <c r="C1787" s="71"/>
      <c r="D1787" s="71"/>
      <c r="E1787" s="72"/>
      <c r="F1787" s="70"/>
      <c r="G1787" s="72" t="str">
        <f t="shared" ca="1" si="56"/>
        <v/>
      </c>
      <c r="H1787" s="72"/>
      <c r="I1787" s="71"/>
      <c r="L1787" s="55" t="str">
        <f t="shared" ca="1" si="57"/>
        <v>NE</v>
      </c>
    </row>
    <row r="1788" spans="1:12" ht="27" thickBot="1">
      <c r="A1788" s="72"/>
      <c r="B1788" s="74"/>
      <c r="C1788" s="71"/>
      <c r="D1788" s="71"/>
      <c r="E1788" s="72"/>
      <c r="F1788" s="70"/>
      <c r="G1788" s="72" t="str">
        <f t="shared" ca="1" si="56"/>
        <v/>
      </c>
      <c r="H1788" s="72"/>
      <c r="I1788" s="71"/>
      <c r="L1788" s="55" t="str">
        <f t="shared" ca="1" si="57"/>
        <v>NE</v>
      </c>
    </row>
    <row r="1789" spans="1:12" ht="27" thickBot="1">
      <c r="A1789" s="72"/>
      <c r="B1789" s="74"/>
      <c r="C1789" s="71"/>
      <c r="D1789" s="71"/>
      <c r="E1789" s="72"/>
      <c r="F1789" s="70"/>
      <c r="G1789" s="72" t="str">
        <f t="shared" ca="1" si="56"/>
        <v/>
      </c>
      <c r="H1789" s="72"/>
      <c r="I1789" s="71"/>
      <c r="L1789" s="55" t="str">
        <f t="shared" ca="1" si="57"/>
        <v>NE</v>
      </c>
    </row>
    <row r="1790" spans="1:12" ht="27" thickBot="1">
      <c r="A1790" s="72"/>
      <c r="B1790" s="74"/>
      <c r="C1790" s="71"/>
      <c r="D1790" s="71"/>
      <c r="E1790" s="72"/>
      <c r="F1790" s="70"/>
      <c r="G1790" s="72" t="str">
        <f t="shared" ca="1" si="56"/>
        <v/>
      </c>
      <c r="H1790" s="72"/>
      <c r="I1790" s="71"/>
      <c r="L1790" s="55" t="str">
        <f t="shared" ca="1" si="57"/>
        <v>NE</v>
      </c>
    </row>
    <row r="1791" spans="1:12" ht="27" thickBot="1">
      <c r="A1791" s="72"/>
      <c r="B1791" s="74"/>
      <c r="C1791" s="71"/>
      <c r="D1791" s="71"/>
      <c r="E1791" s="72"/>
      <c r="F1791" s="70"/>
      <c r="G1791" s="72" t="str">
        <f t="shared" ca="1" si="56"/>
        <v/>
      </c>
      <c r="H1791" s="72"/>
      <c r="I1791" s="71"/>
      <c r="L1791" s="55" t="str">
        <f t="shared" ca="1" si="57"/>
        <v>NE</v>
      </c>
    </row>
    <row r="1792" spans="1:12" ht="27" thickBot="1">
      <c r="A1792" s="72"/>
      <c r="B1792" s="74"/>
      <c r="C1792" s="71"/>
      <c r="D1792" s="71"/>
      <c r="E1792" s="72"/>
      <c r="F1792" s="70"/>
      <c r="G1792" s="72" t="str">
        <f t="shared" ca="1" si="56"/>
        <v/>
      </c>
      <c r="H1792" s="72"/>
      <c r="I1792" s="71"/>
      <c r="L1792" s="55" t="str">
        <f t="shared" ca="1" si="57"/>
        <v>NE</v>
      </c>
    </row>
    <row r="1793" spans="1:12" ht="27" thickBot="1">
      <c r="A1793" s="72"/>
      <c r="B1793" s="74"/>
      <c r="C1793" s="71"/>
      <c r="D1793" s="71"/>
      <c r="E1793" s="72"/>
      <c r="F1793" s="70"/>
      <c r="G1793" s="72" t="str">
        <f t="shared" ca="1" si="56"/>
        <v/>
      </c>
      <c r="H1793" s="72"/>
      <c r="I1793" s="71"/>
      <c r="L1793" s="55" t="str">
        <f t="shared" ca="1" si="57"/>
        <v>NE</v>
      </c>
    </row>
    <row r="1794" spans="1:12" ht="27" thickBot="1">
      <c r="A1794" s="72"/>
      <c r="B1794" s="74"/>
      <c r="C1794" s="71"/>
      <c r="D1794" s="71"/>
      <c r="E1794" s="72"/>
      <c r="F1794" s="70"/>
      <c r="G1794" s="72" t="str">
        <f t="shared" ca="1" si="56"/>
        <v/>
      </c>
      <c r="H1794" s="72"/>
      <c r="I1794" s="71"/>
      <c r="L1794" s="55" t="str">
        <f t="shared" ca="1" si="57"/>
        <v>NE</v>
      </c>
    </row>
    <row r="1795" spans="1:12" ht="27" thickBot="1">
      <c r="A1795" s="72"/>
      <c r="B1795" s="74"/>
      <c r="C1795" s="71"/>
      <c r="D1795" s="71"/>
      <c r="E1795" s="72"/>
      <c r="F1795" s="70"/>
      <c r="G1795" s="72" t="str">
        <f t="shared" ca="1" si="56"/>
        <v/>
      </c>
      <c r="H1795" s="72"/>
      <c r="I1795" s="71"/>
      <c r="L1795" s="55" t="str">
        <f t="shared" ca="1" si="57"/>
        <v>NE</v>
      </c>
    </row>
    <row r="1796" spans="1:12" ht="27" thickBot="1">
      <c r="A1796" s="72"/>
      <c r="B1796" s="74"/>
      <c r="C1796" s="71"/>
      <c r="D1796" s="71"/>
      <c r="E1796" s="72"/>
      <c r="F1796" s="70"/>
      <c r="G1796" s="72" t="str">
        <f t="shared" ca="1" si="56"/>
        <v/>
      </c>
      <c r="H1796" s="72"/>
      <c r="I1796" s="71"/>
      <c r="L1796" s="55" t="str">
        <f t="shared" ca="1" si="57"/>
        <v>NE</v>
      </c>
    </row>
    <row r="1797" spans="1:12" ht="27" thickBot="1">
      <c r="A1797" s="72"/>
      <c r="B1797" s="74"/>
      <c r="C1797" s="71"/>
      <c r="D1797" s="71"/>
      <c r="E1797" s="72"/>
      <c r="F1797" s="70"/>
      <c r="G1797" s="72" t="str">
        <f t="shared" ca="1" si="56"/>
        <v/>
      </c>
      <c r="H1797" s="72"/>
      <c r="I1797" s="71"/>
      <c r="L1797" s="55" t="str">
        <f t="shared" ca="1" si="57"/>
        <v>NE</v>
      </c>
    </row>
    <row r="1798" spans="1:12" ht="27" thickBot="1">
      <c r="A1798" s="72"/>
      <c r="B1798" s="74"/>
      <c r="C1798" s="71"/>
      <c r="D1798" s="71"/>
      <c r="E1798" s="72"/>
      <c r="F1798" s="70"/>
      <c r="G1798" s="72" t="str">
        <f t="shared" ca="1" si="56"/>
        <v/>
      </c>
      <c r="H1798" s="72"/>
      <c r="I1798" s="71"/>
      <c r="L1798" s="55" t="str">
        <f t="shared" ca="1" si="57"/>
        <v>NE</v>
      </c>
    </row>
    <row r="1799" spans="1:12" ht="27" thickBot="1">
      <c r="A1799" s="72"/>
      <c r="B1799" s="74"/>
      <c r="C1799" s="71"/>
      <c r="D1799" s="71"/>
      <c r="E1799" s="72"/>
      <c r="F1799" s="70"/>
      <c r="G1799" s="72" t="str">
        <f t="shared" ca="1" si="56"/>
        <v/>
      </c>
      <c r="H1799" s="72"/>
      <c r="I1799" s="71"/>
      <c r="L1799" s="55" t="str">
        <f t="shared" ca="1" si="57"/>
        <v>NE</v>
      </c>
    </row>
    <row r="1800" spans="1:12" ht="27" thickBot="1">
      <c r="A1800" s="72"/>
      <c r="B1800" s="74"/>
      <c r="C1800" s="71"/>
      <c r="D1800" s="71"/>
      <c r="E1800" s="72"/>
      <c r="F1800" s="70"/>
      <c r="G1800" s="72" t="str">
        <f t="shared" ca="1" si="56"/>
        <v/>
      </c>
      <c r="H1800" s="72"/>
      <c r="I1800" s="71"/>
      <c r="L1800" s="55" t="str">
        <f t="shared" ca="1" si="57"/>
        <v>NE</v>
      </c>
    </row>
    <row r="1801" spans="1:12" ht="27" thickBot="1">
      <c r="A1801" s="72"/>
      <c r="B1801" s="74"/>
      <c r="C1801" s="71"/>
      <c r="D1801" s="71"/>
      <c r="E1801" s="72"/>
      <c r="F1801" s="70"/>
      <c r="G1801" s="72" t="str">
        <f t="shared" ca="1" si="56"/>
        <v/>
      </c>
      <c r="H1801" s="72"/>
      <c r="I1801" s="71"/>
      <c r="L1801" s="55" t="str">
        <f t="shared" ca="1" si="57"/>
        <v>NE</v>
      </c>
    </row>
    <row r="1802" spans="1:12" ht="27" thickBot="1">
      <c r="A1802" s="72"/>
      <c r="B1802" s="74"/>
      <c r="C1802" s="71"/>
      <c r="D1802" s="71"/>
      <c r="E1802" s="72"/>
      <c r="F1802" s="70"/>
      <c r="G1802" s="72" t="str">
        <f t="shared" ca="1" si="56"/>
        <v/>
      </c>
      <c r="H1802" s="72"/>
      <c r="I1802" s="71"/>
      <c r="L1802" s="55" t="str">
        <f t="shared" ca="1" si="57"/>
        <v>NE</v>
      </c>
    </row>
    <row r="1803" spans="1:12" ht="27" thickBot="1">
      <c r="A1803" s="72"/>
      <c r="B1803" s="74"/>
      <c r="C1803" s="71"/>
      <c r="D1803" s="71"/>
      <c r="E1803" s="72"/>
      <c r="F1803" s="70"/>
      <c r="G1803" s="72" t="str">
        <f t="shared" ca="1" si="56"/>
        <v/>
      </c>
      <c r="H1803" s="72"/>
      <c r="I1803" s="71"/>
      <c r="L1803" s="55" t="str">
        <f t="shared" ca="1" si="57"/>
        <v>NE</v>
      </c>
    </row>
    <row r="1804" spans="1:12" ht="27" thickBot="1">
      <c r="A1804" s="72"/>
      <c r="B1804" s="74"/>
      <c r="C1804" s="71"/>
      <c r="D1804" s="71"/>
      <c r="E1804" s="72"/>
      <c r="F1804" s="70"/>
      <c r="G1804" s="72" t="str">
        <f t="shared" ca="1" si="56"/>
        <v/>
      </c>
      <c r="H1804" s="72"/>
      <c r="I1804" s="71"/>
      <c r="L1804" s="55" t="str">
        <f t="shared" ca="1" si="57"/>
        <v>NE</v>
      </c>
    </row>
    <row r="1805" spans="1:12" ht="27" thickBot="1">
      <c r="A1805" s="72"/>
      <c r="B1805" s="74"/>
      <c r="C1805" s="71"/>
      <c r="D1805" s="71"/>
      <c r="E1805" s="72"/>
      <c r="F1805" s="70"/>
      <c r="G1805" s="72" t="str">
        <f t="shared" ca="1" si="56"/>
        <v/>
      </c>
      <c r="H1805" s="72"/>
      <c r="I1805" s="71"/>
      <c r="L1805" s="55" t="str">
        <f t="shared" ca="1" si="57"/>
        <v>NE</v>
      </c>
    </row>
    <row r="1806" spans="1:12" ht="27" thickBot="1">
      <c r="A1806" s="72"/>
      <c r="B1806" s="74"/>
      <c r="C1806" s="71"/>
      <c r="D1806" s="71"/>
      <c r="E1806" s="72"/>
      <c r="F1806" s="70"/>
      <c r="G1806" s="72" t="str">
        <f t="shared" ca="1" si="56"/>
        <v/>
      </c>
      <c r="H1806" s="72"/>
      <c r="I1806" s="71"/>
      <c r="L1806" s="55" t="str">
        <f t="shared" ca="1" si="57"/>
        <v>NE</v>
      </c>
    </row>
    <row r="1807" spans="1:12" ht="27" thickBot="1">
      <c r="A1807" s="72"/>
      <c r="B1807" s="74"/>
      <c r="C1807" s="71"/>
      <c r="D1807" s="71"/>
      <c r="E1807" s="72"/>
      <c r="F1807" s="70"/>
      <c r="G1807" s="72" t="str">
        <f t="shared" ca="1" si="56"/>
        <v/>
      </c>
      <c r="H1807" s="72"/>
      <c r="I1807" s="71"/>
      <c r="L1807" s="55" t="str">
        <f t="shared" ca="1" si="57"/>
        <v>NE</v>
      </c>
    </row>
    <row r="1808" spans="1:12" ht="27" thickBot="1">
      <c r="A1808" s="72"/>
      <c r="B1808" s="74"/>
      <c r="C1808" s="71"/>
      <c r="D1808" s="71"/>
      <c r="E1808" s="72"/>
      <c r="F1808" s="70"/>
      <c r="G1808" s="72" t="str">
        <f t="shared" ca="1" si="56"/>
        <v/>
      </c>
      <c r="H1808" s="72"/>
      <c r="I1808" s="71"/>
      <c r="L1808" s="55" t="str">
        <f t="shared" ca="1" si="57"/>
        <v>NE</v>
      </c>
    </row>
    <row r="1809" spans="1:12" ht="27" thickBot="1">
      <c r="A1809" s="72"/>
      <c r="B1809" s="74"/>
      <c r="C1809" s="71"/>
      <c r="D1809" s="71"/>
      <c r="E1809" s="72"/>
      <c r="F1809" s="70"/>
      <c r="G1809" s="72" t="str">
        <f t="shared" ca="1" si="56"/>
        <v/>
      </c>
      <c r="H1809" s="72"/>
      <c r="I1809" s="71"/>
      <c r="L1809" s="55" t="str">
        <f t="shared" ca="1" si="57"/>
        <v>NE</v>
      </c>
    </row>
    <row r="1810" spans="1:12" ht="27" thickBot="1">
      <c r="A1810" s="72"/>
      <c r="B1810" s="74"/>
      <c r="C1810" s="71"/>
      <c r="D1810" s="71"/>
      <c r="E1810" s="72"/>
      <c r="F1810" s="70"/>
      <c r="G1810" s="72" t="str">
        <f t="shared" ca="1" si="56"/>
        <v/>
      </c>
      <c r="H1810" s="72"/>
      <c r="I1810" s="71"/>
      <c r="L1810" s="55" t="str">
        <f t="shared" ca="1" si="57"/>
        <v>NE</v>
      </c>
    </row>
    <row r="1811" spans="1:12" ht="27" thickBot="1">
      <c r="A1811" s="72"/>
      <c r="B1811" s="74"/>
      <c r="C1811" s="71"/>
      <c r="D1811" s="71"/>
      <c r="E1811" s="72"/>
      <c r="F1811" s="70"/>
      <c r="G1811" s="72" t="str">
        <f t="shared" ca="1" si="56"/>
        <v/>
      </c>
      <c r="H1811" s="72"/>
      <c r="I1811" s="71"/>
      <c r="L1811" s="55" t="str">
        <f t="shared" ca="1" si="57"/>
        <v>NE</v>
      </c>
    </row>
    <row r="1812" spans="1:12" ht="27" thickBot="1">
      <c r="A1812" s="72"/>
      <c r="B1812" s="74"/>
      <c r="C1812" s="71"/>
      <c r="D1812" s="71"/>
      <c r="E1812" s="72"/>
      <c r="F1812" s="70"/>
      <c r="G1812" s="72" t="str">
        <f t="shared" ca="1" si="56"/>
        <v/>
      </c>
      <c r="H1812" s="72"/>
      <c r="I1812" s="71"/>
      <c r="L1812" s="55" t="str">
        <f t="shared" ca="1" si="57"/>
        <v>NE</v>
      </c>
    </row>
    <row r="1813" spans="1:12" ht="27" thickBot="1">
      <c r="A1813" s="72"/>
      <c r="B1813" s="74"/>
      <c r="C1813" s="71"/>
      <c r="D1813" s="71"/>
      <c r="E1813" s="72"/>
      <c r="F1813" s="70"/>
      <c r="G1813" s="72" t="str">
        <f t="shared" ca="1" si="56"/>
        <v/>
      </c>
      <c r="H1813" s="72"/>
      <c r="I1813" s="71"/>
      <c r="L1813" s="55" t="str">
        <f t="shared" ca="1" si="57"/>
        <v>NE</v>
      </c>
    </row>
    <row r="1814" spans="1:12" ht="27" thickBot="1">
      <c r="A1814" s="72"/>
      <c r="B1814" s="74"/>
      <c r="C1814" s="71"/>
      <c r="D1814" s="71"/>
      <c r="E1814" s="72"/>
      <c r="F1814" s="70"/>
      <c r="G1814" s="72" t="str">
        <f t="shared" ca="1" si="56"/>
        <v/>
      </c>
      <c r="H1814" s="72"/>
      <c r="I1814" s="71"/>
      <c r="L1814" s="55" t="str">
        <f t="shared" ca="1" si="57"/>
        <v>NE</v>
      </c>
    </row>
    <row r="1815" spans="1:12" ht="27" thickBot="1">
      <c r="A1815" s="72"/>
      <c r="B1815" s="74"/>
      <c r="C1815" s="71"/>
      <c r="D1815" s="71"/>
      <c r="E1815" s="72"/>
      <c r="F1815" s="70"/>
      <c r="G1815" s="72" t="str">
        <f t="shared" ca="1" si="56"/>
        <v/>
      </c>
      <c r="H1815" s="72"/>
      <c r="I1815" s="71"/>
      <c r="L1815" s="55" t="str">
        <f t="shared" ca="1" si="57"/>
        <v>NE</v>
      </c>
    </row>
    <row r="1816" spans="1:12" ht="27" thickBot="1">
      <c r="A1816" s="72"/>
      <c r="B1816" s="74"/>
      <c r="C1816" s="71"/>
      <c r="D1816" s="71"/>
      <c r="E1816" s="72"/>
      <c r="F1816" s="70"/>
      <c r="G1816" s="72" t="str">
        <f t="shared" ca="1" si="56"/>
        <v/>
      </c>
      <c r="H1816" s="72"/>
      <c r="I1816" s="71"/>
      <c r="L1816" s="55" t="str">
        <f t="shared" ca="1" si="57"/>
        <v>NE</v>
      </c>
    </row>
    <row r="1817" spans="1:12" ht="27" thickBot="1">
      <c r="A1817" s="72"/>
      <c r="B1817" s="74"/>
      <c r="C1817" s="71"/>
      <c r="D1817" s="71"/>
      <c r="E1817" s="72"/>
      <c r="F1817" s="70"/>
      <c r="G1817" s="72" t="str">
        <f t="shared" ca="1" si="56"/>
        <v/>
      </c>
      <c r="H1817" s="72"/>
      <c r="I1817" s="71"/>
      <c r="L1817" s="55" t="str">
        <f t="shared" ca="1" si="57"/>
        <v>NE</v>
      </c>
    </row>
    <row r="1818" spans="1:12" ht="27" thickBot="1">
      <c r="A1818" s="72"/>
      <c r="B1818" s="74"/>
      <c r="C1818" s="71"/>
      <c r="D1818" s="71"/>
      <c r="E1818" s="72"/>
      <c r="F1818" s="70"/>
      <c r="G1818" s="72" t="str">
        <f t="shared" ca="1" si="56"/>
        <v/>
      </c>
      <c r="H1818" s="72"/>
      <c r="I1818" s="71"/>
      <c r="L1818" s="55" t="str">
        <f t="shared" ca="1" si="57"/>
        <v>NE</v>
      </c>
    </row>
    <row r="1819" spans="1:12" ht="27" thickBot="1">
      <c r="A1819" s="72"/>
      <c r="B1819" s="74"/>
      <c r="C1819" s="71"/>
      <c r="D1819" s="71"/>
      <c r="E1819" s="72"/>
      <c r="F1819" s="70"/>
      <c r="G1819" s="72" t="str">
        <f t="shared" ca="1" si="56"/>
        <v/>
      </c>
      <c r="H1819" s="72"/>
      <c r="I1819" s="71"/>
      <c r="L1819" s="55" t="str">
        <f t="shared" ca="1" si="57"/>
        <v>NE</v>
      </c>
    </row>
    <row r="1820" spans="1:12" ht="27" thickBot="1">
      <c r="A1820" s="72"/>
      <c r="B1820" s="74"/>
      <c r="C1820" s="71"/>
      <c r="D1820" s="71"/>
      <c r="E1820" s="72"/>
      <c r="F1820" s="70"/>
      <c r="G1820" s="72" t="str">
        <f t="shared" ca="1" si="56"/>
        <v/>
      </c>
      <c r="H1820" s="72"/>
      <c r="I1820" s="71"/>
      <c r="L1820" s="55" t="str">
        <f t="shared" ca="1" si="57"/>
        <v>NE</v>
      </c>
    </row>
    <row r="1821" spans="1:12" ht="27" thickBot="1">
      <c r="A1821" s="72"/>
      <c r="B1821" s="74"/>
      <c r="C1821" s="71"/>
      <c r="D1821" s="71"/>
      <c r="E1821" s="72"/>
      <c r="F1821" s="70"/>
      <c r="G1821" s="72" t="str">
        <f t="shared" ca="1" si="56"/>
        <v/>
      </c>
      <c r="H1821" s="72"/>
      <c r="I1821" s="71"/>
      <c r="L1821" s="55" t="str">
        <f t="shared" ca="1" si="57"/>
        <v>NE</v>
      </c>
    </row>
    <row r="1822" spans="1:12" ht="27" thickBot="1">
      <c r="A1822" s="72"/>
      <c r="B1822" s="74"/>
      <c r="C1822" s="71"/>
      <c r="D1822" s="71"/>
      <c r="E1822" s="72"/>
      <c r="F1822" s="70"/>
      <c r="G1822" s="72" t="str">
        <f t="shared" ca="1" si="56"/>
        <v/>
      </c>
      <c r="H1822" s="72"/>
      <c r="I1822" s="71"/>
      <c r="L1822" s="55" t="str">
        <f t="shared" ca="1" si="57"/>
        <v>NE</v>
      </c>
    </row>
    <row r="1823" spans="1:12" ht="27" thickBot="1">
      <c r="A1823" s="72"/>
      <c r="B1823" s="74"/>
      <c r="C1823" s="71"/>
      <c r="D1823" s="71"/>
      <c r="E1823" s="72"/>
      <c r="F1823" s="70"/>
      <c r="G1823" s="72" t="str">
        <f t="shared" ca="1" si="56"/>
        <v/>
      </c>
      <c r="H1823" s="72"/>
      <c r="I1823" s="71"/>
      <c r="L1823" s="55" t="str">
        <f t="shared" ca="1" si="57"/>
        <v>NE</v>
      </c>
    </row>
    <row r="1824" spans="1:12" ht="27" thickBot="1">
      <c r="A1824" s="72"/>
      <c r="B1824" s="74"/>
      <c r="C1824" s="71"/>
      <c r="D1824" s="71"/>
      <c r="E1824" s="72"/>
      <c r="F1824" s="70"/>
      <c r="G1824" s="72" t="str">
        <f t="shared" ca="1" si="56"/>
        <v/>
      </c>
      <c r="H1824" s="72"/>
      <c r="I1824" s="71"/>
      <c r="L1824" s="55" t="str">
        <f t="shared" ca="1" si="57"/>
        <v>NE</v>
      </c>
    </row>
    <row r="1825" spans="1:12" ht="27" thickBot="1">
      <c r="A1825" s="72"/>
      <c r="B1825" s="74"/>
      <c r="C1825" s="71"/>
      <c r="D1825" s="71"/>
      <c r="E1825" s="72"/>
      <c r="F1825" s="70"/>
      <c r="G1825" s="72" t="str">
        <f t="shared" ca="1" si="56"/>
        <v/>
      </c>
      <c r="H1825" s="72"/>
      <c r="I1825" s="71"/>
      <c r="L1825" s="55" t="str">
        <f t="shared" ca="1" si="57"/>
        <v>NE</v>
      </c>
    </row>
    <row r="1826" spans="1:12" ht="27" thickBot="1">
      <c r="A1826" s="72"/>
      <c r="B1826" s="74"/>
      <c r="C1826" s="71"/>
      <c r="D1826" s="71"/>
      <c r="E1826" s="72"/>
      <c r="F1826" s="70"/>
      <c r="G1826" s="72" t="str">
        <f t="shared" ca="1" si="56"/>
        <v/>
      </c>
      <c r="H1826" s="72"/>
      <c r="I1826" s="71"/>
      <c r="L1826" s="55" t="str">
        <f t="shared" ca="1" si="57"/>
        <v>NE</v>
      </c>
    </row>
    <row r="1827" spans="1:12" ht="27" thickBot="1">
      <c r="A1827" s="72"/>
      <c r="B1827" s="74"/>
      <c r="C1827" s="71"/>
      <c r="D1827" s="71"/>
      <c r="E1827" s="72"/>
      <c r="F1827" s="70"/>
      <c r="G1827" s="72" t="str">
        <f t="shared" ca="1" si="56"/>
        <v/>
      </c>
      <c r="H1827" s="72"/>
      <c r="I1827" s="71"/>
      <c r="L1827" s="55" t="str">
        <f t="shared" ca="1" si="57"/>
        <v>NE</v>
      </c>
    </row>
    <row r="1828" spans="1:12" ht="27" thickBot="1">
      <c r="A1828" s="72"/>
      <c r="B1828" s="74"/>
      <c r="C1828" s="71"/>
      <c r="D1828" s="71"/>
      <c r="E1828" s="72"/>
      <c r="F1828" s="70"/>
      <c r="G1828" s="72" t="str">
        <f t="shared" ca="1" si="56"/>
        <v/>
      </c>
      <c r="H1828" s="72"/>
      <c r="I1828" s="71"/>
      <c r="L1828" s="55" t="str">
        <f t="shared" ca="1" si="57"/>
        <v>NE</v>
      </c>
    </row>
    <row r="1829" spans="1:12" ht="27" thickBot="1">
      <c r="A1829" s="72"/>
      <c r="B1829" s="74"/>
      <c r="C1829" s="71"/>
      <c r="D1829" s="71"/>
      <c r="E1829" s="72"/>
      <c r="F1829" s="70"/>
      <c r="G1829" s="72" t="str">
        <f t="shared" ca="1" si="56"/>
        <v/>
      </c>
      <c r="H1829" s="72"/>
      <c r="I1829" s="71"/>
      <c r="L1829" s="55" t="str">
        <f t="shared" ca="1" si="57"/>
        <v>NE</v>
      </c>
    </row>
    <row r="1830" spans="1:12" ht="27" thickBot="1">
      <c r="A1830" s="72"/>
      <c r="B1830" s="74"/>
      <c r="C1830" s="71"/>
      <c r="D1830" s="71"/>
      <c r="E1830" s="72"/>
      <c r="F1830" s="70"/>
      <c r="G1830" s="72" t="str">
        <f t="shared" ca="1" si="56"/>
        <v/>
      </c>
      <c r="H1830" s="72"/>
      <c r="I1830" s="71"/>
      <c r="L1830" s="55" t="str">
        <f t="shared" ca="1" si="57"/>
        <v>NE</v>
      </c>
    </row>
    <row r="1831" spans="1:12" ht="27" thickBot="1">
      <c r="A1831" s="72"/>
      <c r="B1831" s="74"/>
      <c r="C1831" s="71"/>
      <c r="D1831" s="71"/>
      <c r="E1831" s="72"/>
      <c r="F1831" s="70"/>
      <c r="G1831" s="72" t="str">
        <f t="shared" ca="1" si="56"/>
        <v/>
      </c>
      <c r="H1831" s="72"/>
      <c r="I1831" s="71"/>
      <c r="L1831" s="55" t="str">
        <f t="shared" ca="1" si="57"/>
        <v>NE</v>
      </c>
    </row>
    <row r="1832" spans="1:12" ht="27" thickBot="1">
      <c r="A1832" s="72"/>
      <c r="B1832" s="74"/>
      <c r="C1832" s="71"/>
      <c r="D1832" s="71"/>
      <c r="E1832" s="72"/>
      <c r="F1832" s="70"/>
      <c r="G1832" s="72" t="str">
        <f t="shared" ca="1" si="56"/>
        <v/>
      </c>
      <c r="H1832" s="72"/>
      <c r="I1832" s="71"/>
      <c r="L1832" s="55" t="str">
        <f t="shared" ca="1" si="57"/>
        <v>NE</v>
      </c>
    </row>
    <row r="1833" spans="1:12" ht="27" thickBot="1">
      <c r="A1833" s="72"/>
      <c r="B1833" s="74"/>
      <c r="C1833" s="71"/>
      <c r="D1833" s="71"/>
      <c r="E1833" s="72"/>
      <c r="F1833" s="70"/>
      <c r="G1833" s="72" t="str">
        <f t="shared" ca="1" si="56"/>
        <v/>
      </c>
      <c r="H1833" s="72"/>
      <c r="I1833" s="71"/>
      <c r="L1833" s="55" t="str">
        <f t="shared" ca="1" si="57"/>
        <v>NE</v>
      </c>
    </row>
    <row r="1834" spans="1:12" ht="27" thickBot="1">
      <c r="A1834" s="72"/>
      <c r="B1834" s="74"/>
      <c r="C1834" s="71"/>
      <c r="D1834" s="71"/>
      <c r="E1834" s="72"/>
      <c r="F1834" s="70"/>
      <c r="G1834" s="72" t="str">
        <f t="shared" ca="1" si="56"/>
        <v/>
      </c>
      <c r="H1834" s="72"/>
      <c r="I1834" s="71"/>
      <c r="L1834" s="55" t="str">
        <f t="shared" ca="1" si="57"/>
        <v>NE</v>
      </c>
    </row>
    <row r="1835" spans="1:12" ht="27" thickBot="1">
      <c r="A1835" s="72"/>
      <c r="B1835" s="74"/>
      <c r="C1835" s="71"/>
      <c r="D1835" s="71"/>
      <c r="E1835" s="72"/>
      <c r="F1835" s="70"/>
      <c r="G1835" s="72" t="str">
        <f t="shared" ca="1" si="56"/>
        <v/>
      </c>
      <c r="H1835" s="72"/>
      <c r="I1835" s="71"/>
      <c r="L1835" s="55" t="str">
        <f t="shared" ca="1" si="57"/>
        <v>NE</v>
      </c>
    </row>
    <row r="1836" spans="1:12" ht="27" thickBot="1">
      <c r="A1836" s="72"/>
      <c r="B1836" s="74"/>
      <c r="C1836" s="71"/>
      <c r="D1836" s="71"/>
      <c r="E1836" s="72"/>
      <c r="F1836" s="70"/>
      <c r="G1836" s="72" t="str">
        <f t="shared" ca="1" si="56"/>
        <v/>
      </c>
      <c r="H1836" s="72"/>
      <c r="I1836" s="71"/>
      <c r="L1836" s="55" t="str">
        <f t="shared" ca="1" si="57"/>
        <v>NE</v>
      </c>
    </row>
    <row r="1837" spans="1:12" ht="27" thickBot="1">
      <c r="A1837" s="72"/>
      <c r="B1837" s="74"/>
      <c r="C1837" s="71"/>
      <c r="D1837" s="71"/>
      <c r="E1837" s="72"/>
      <c r="F1837" s="70"/>
      <c r="G1837" s="72" t="str">
        <f t="shared" ca="1" si="56"/>
        <v/>
      </c>
      <c r="H1837" s="72"/>
      <c r="I1837" s="71"/>
      <c r="L1837" s="55" t="str">
        <f t="shared" ca="1" si="57"/>
        <v>NE</v>
      </c>
    </row>
    <row r="1838" spans="1:12" ht="27" thickBot="1">
      <c r="A1838" s="72"/>
      <c r="B1838" s="74"/>
      <c r="C1838" s="71"/>
      <c r="D1838" s="71"/>
      <c r="E1838" s="72"/>
      <c r="F1838" s="70"/>
      <c r="G1838" s="72" t="str">
        <f t="shared" ref="G1838:G1901" ca="1" si="58">IF(ISBLANK(F1838),"",IF(F1838&gt;=TODAY(), "Non Echue", "Echue"))</f>
        <v/>
      </c>
      <c r="H1838" s="72"/>
      <c r="I1838" s="71"/>
      <c r="L1838" s="55" t="str">
        <f t="shared" ref="L1838:L1901" ca="1" si="59" xml:space="preserve"> IF(G1838 = "Echue",IF(H1838 = "Appliqué","EAP","NAP"),"NE")</f>
        <v>NE</v>
      </c>
    </row>
    <row r="1839" spans="1:12" ht="27" thickBot="1">
      <c r="A1839" s="72"/>
      <c r="B1839" s="74"/>
      <c r="C1839" s="71"/>
      <c r="D1839" s="71"/>
      <c r="E1839" s="72"/>
      <c r="F1839" s="70"/>
      <c r="G1839" s="72" t="str">
        <f t="shared" ca="1" si="58"/>
        <v/>
      </c>
      <c r="H1839" s="72"/>
      <c r="I1839" s="71"/>
      <c r="L1839" s="55" t="str">
        <f t="shared" ca="1" si="59"/>
        <v>NE</v>
      </c>
    </row>
    <row r="1840" spans="1:12" ht="27" thickBot="1">
      <c r="A1840" s="72"/>
      <c r="B1840" s="74"/>
      <c r="C1840" s="71"/>
      <c r="D1840" s="71"/>
      <c r="E1840" s="72"/>
      <c r="F1840" s="70"/>
      <c r="G1840" s="72" t="str">
        <f t="shared" ca="1" si="58"/>
        <v/>
      </c>
      <c r="H1840" s="72"/>
      <c r="I1840" s="71"/>
      <c r="L1840" s="55" t="str">
        <f t="shared" ca="1" si="59"/>
        <v>NE</v>
      </c>
    </row>
    <row r="1841" spans="1:12" ht="27" thickBot="1">
      <c r="A1841" s="72"/>
      <c r="B1841" s="74"/>
      <c r="C1841" s="71"/>
      <c r="D1841" s="71"/>
      <c r="E1841" s="72"/>
      <c r="F1841" s="70"/>
      <c r="G1841" s="72" t="str">
        <f t="shared" ca="1" si="58"/>
        <v/>
      </c>
      <c r="H1841" s="72"/>
      <c r="I1841" s="71"/>
      <c r="L1841" s="55" t="str">
        <f t="shared" ca="1" si="59"/>
        <v>NE</v>
      </c>
    </row>
    <row r="1842" spans="1:12" ht="27" thickBot="1">
      <c r="A1842" s="72"/>
      <c r="B1842" s="74"/>
      <c r="C1842" s="71"/>
      <c r="D1842" s="71"/>
      <c r="E1842" s="72"/>
      <c r="F1842" s="70"/>
      <c r="G1842" s="72" t="str">
        <f t="shared" ca="1" si="58"/>
        <v/>
      </c>
      <c r="H1842" s="72"/>
      <c r="I1842" s="71"/>
      <c r="L1842" s="55" t="str">
        <f t="shared" ca="1" si="59"/>
        <v>NE</v>
      </c>
    </row>
    <row r="1843" spans="1:12" ht="27" thickBot="1">
      <c r="A1843" s="72"/>
      <c r="B1843" s="74"/>
      <c r="C1843" s="71"/>
      <c r="D1843" s="71"/>
      <c r="E1843" s="72"/>
      <c r="F1843" s="70"/>
      <c r="G1843" s="72" t="str">
        <f t="shared" ca="1" si="58"/>
        <v/>
      </c>
      <c r="H1843" s="72"/>
      <c r="I1843" s="71"/>
      <c r="L1843" s="55" t="str">
        <f t="shared" ca="1" si="59"/>
        <v>NE</v>
      </c>
    </row>
    <row r="1844" spans="1:12" ht="27" thickBot="1">
      <c r="A1844" s="72"/>
      <c r="B1844" s="74"/>
      <c r="C1844" s="71"/>
      <c r="D1844" s="71"/>
      <c r="E1844" s="72"/>
      <c r="F1844" s="70"/>
      <c r="G1844" s="72" t="str">
        <f t="shared" ca="1" si="58"/>
        <v/>
      </c>
      <c r="H1844" s="72"/>
      <c r="I1844" s="71"/>
      <c r="L1844" s="55" t="str">
        <f t="shared" ca="1" si="59"/>
        <v>NE</v>
      </c>
    </row>
    <row r="1845" spans="1:12" ht="27" thickBot="1">
      <c r="A1845" s="72"/>
      <c r="B1845" s="74"/>
      <c r="C1845" s="71"/>
      <c r="D1845" s="71"/>
      <c r="E1845" s="72"/>
      <c r="F1845" s="70"/>
      <c r="G1845" s="72" t="str">
        <f t="shared" ca="1" si="58"/>
        <v/>
      </c>
      <c r="H1845" s="72"/>
      <c r="I1845" s="71"/>
      <c r="L1845" s="55" t="str">
        <f t="shared" ca="1" si="59"/>
        <v>NE</v>
      </c>
    </row>
    <row r="1846" spans="1:12" ht="27" thickBot="1">
      <c r="A1846" s="72"/>
      <c r="B1846" s="74"/>
      <c r="C1846" s="71"/>
      <c r="D1846" s="71"/>
      <c r="E1846" s="72"/>
      <c r="F1846" s="70"/>
      <c r="G1846" s="72" t="str">
        <f t="shared" ca="1" si="58"/>
        <v/>
      </c>
      <c r="H1846" s="72"/>
      <c r="I1846" s="71"/>
      <c r="L1846" s="55" t="str">
        <f t="shared" ca="1" si="59"/>
        <v>NE</v>
      </c>
    </row>
    <row r="1847" spans="1:12" ht="27" thickBot="1">
      <c r="A1847" s="72"/>
      <c r="B1847" s="74"/>
      <c r="C1847" s="71"/>
      <c r="D1847" s="71"/>
      <c r="E1847" s="72"/>
      <c r="F1847" s="70"/>
      <c r="G1847" s="72" t="str">
        <f t="shared" ca="1" si="58"/>
        <v/>
      </c>
      <c r="H1847" s="72"/>
      <c r="I1847" s="71"/>
      <c r="L1847" s="55" t="str">
        <f t="shared" ca="1" si="59"/>
        <v>NE</v>
      </c>
    </row>
    <row r="1848" spans="1:12" ht="27" thickBot="1">
      <c r="A1848" s="72"/>
      <c r="B1848" s="74"/>
      <c r="C1848" s="71"/>
      <c r="D1848" s="71"/>
      <c r="E1848" s="72"/>
      <c r="F1848" s="70"/>
      <c r="G1848" s="72" t="str">
        <f t="shared" ca="1" si="58"/>
        <v/>
      </c>
      <c r="H1848" s="72"/>
      <c r="I1848" s="71"/>
      <c r="L1848" s="55" t="str">
        <f t="shared" ca="1" si="59"/>
        <v>NE</v>
      </c>
    </row>
    <row r="1849" spans="1:12" ht="27" thickBot="1">
      <c r="A1849" s="72"/>
      <c r="B1849" s="74"/>
      <c r="C1849" s="71"/>
      <c r="D1849" s="71"/>
      <c r="E1849" s="72"/>
      <c r="F1849" s="70"/>
      <c r="G1849" s="72" t="str">
        <f t="shared" ca="1" si="58"/>
        <v/>
      </c>
      <c r="H1849" s="72"/>
      <c r="I1849" s="71"/>
      <c r="L1849" s="55" t="str">
        <f t="shared" ca="1" si="59"/>
        <v>NE</v>
      </c>
    </row>
    <row r="1850" spans="1:12" ht="27" thickBot="1">
      <c r="A1850" s="72"/>
      <c r="B1850" s="74"/>
      <c r="C1850" s="71"/>
      <c r="D1850" s="71"/>
      <c r="E1850" s="72"/>
      <c r="F1850" s="70"/>
      <c r="G1850" s="72" t="str">
        <f t="shared" ca="1" si="58"/>
        <v/>
      </c>
      <c r="H1850" s="72"/>
      <c r="I1850" s="71"/>
      <c r="L1850" s="55" t="str">
        <f t="shared" ca="1" si="59"/>
        <v>NE</v>
      </c>
    </row>
    <row r="1851" spans="1:12" ht="27" thickBot="1">
      <c r="A1851" s="72"/>
      <c r="B1851" s="74"/>
      <c r="C1851" s="71"/>
      <c r="D1851" s="71"/>
      <c r="E1851" s="72"/>
      <c r="F1851" s="70"/>
      <c r="G1851" s="72" t="str">
        <f t="shared" ca="1" si="58"/>
        <v/>
      </c>
      <c r="H1851" s="72"/>
      <c r="I1851" s="71"/>
      <c r="L1851" s="55" t="str">
        <f t="shared" ca="1" si="59"/>
        <v>NE</v>
      </c>
    </row>
    <row r="1852" spans="1:12" ht="27" thickBot="1">
      <c r="A1852" s="72"/>
      <c r="B1852" s="74"/>
      <c r="C1852" s="71"/>
      <c r="D1852" s="71"/>
      <c r="E1852" s="72"/>
      <c r="F1852" s="70"/>
      <c r="G1852" s="72" t="str">
        <f t="shared" ca="1" si="58"/>
        <v/>
      </c>
      <c r="H1852" s="72"/>
      <c r="I1852" s="71"/>
      <c r="L1852" s="55" t="str">
        <f t="shared" ca="1" si="59"/>
        <v>NE</v>
      </c>
    </row>
    <row r="1853" spans="1:12" ht="27" thickBot="1">
      <c r="A1853" s="72"/>
      <c r="B1853" s="74"/>
      <c r="C1853" s="71"/>
      <c r="D1853" s="71"/>
      <c r="E1853" s="72"/>
      <c r="F1853" s="70"/>
      <c r="G1853" s="72" t="str">
        <f t="shared" ca="1" si="58"/>
        <v/>
      </c>
      <c r="H1853" s="72"/>
      <c r="I1853" s="71"/>
      <c r="L1853" s="55" t="str">
        <f t="shared" ca="1" si="59"/>
        <v>NE</v>
      </c>
    </row>
    <row r="1854" spans="1:12" ht="27" thickBot="1">
      <c r="A1854" s="72"/>
      <c r="B1854" s="74"/>
      <c r="C1854" s="71"/>
      <c r="D1854" s="71"/>
      <c r="E1854" s="72"/>
      <c r="F1854" s="70"/>
      <c r="G1854" s="72" t="str">
        <f t="shared" ca="1" si="58"/>
        <v/>
      </c>
      <c r="H1854" s="72"/>
      <c r="I1854" s="71"/>
      <c r="L1854" s="55" t="str">
        <f t="shared" ca="1" si="59"/>
        <v>NE</v>
      </c>
    </row>
    <row r="1855" spans="1:12" ht="27" thickBot="1">
      <c r="A1855" s="72"/>
      <c r="B1855" s="74"/>
      <c r="C1855" s="71"/>
      <c r="D1855" s="71"/>
      <c r="E1855" s="72"/>
      <c r="F1855" s="70"/>
      <c r="G1855" s="72" t="str">
        <f t="shared" ca="1" si="58"/>
        <v/>
      </c>
      <c r="H1855" s="72"/>
      <c r="I1855" s="71"/>
      <c r="L1855" s="55" t="str">
        <f t="shared" ca="1" si="59"/>
        <v>NE</v>
      </c>
    </row>
    <row r="1856" spans="1:12" ht="27" thickBot="1">
      <c r="A1856" s="72"/>
      <c r="B1856" s="74"/>
      <c r="C1856" s="71"/>
      <c r="D1856" s="71"/>
      <c r="E1856" s="72"/>
      <c r="F1856" s="70"/>
      <c r="G1856" s="72" t="str">
        <f t="shared" ca="1" si="58"/>
        <v/>
      </c>
      <c r="H1856" s="72"/>
      <c r="I1856" s="71"/>
      <c r="L1856" s="55" t="str">
        <f t="shared" ca="1" si="59"/>
        <v>NE</v>
      </c>
    </row>
    <row r="1857" spans="1:12" ht="27" thickBot="1">
      <c r="A1857" s="72"/>
      <c r="B1857" s="74"/>
      <c r="C1857" s="71"/>
      <c r="D1857" s="71"/>
      <c r="E1857" s="72"/>
      <c r="F1857" s="70"/>
      <c r="G1857" s="72" t="str">
        <f t="shared" ca="1" si="58"/>
        <v/>
      </c>
      <c r="H1857" s="72"/>
      <c r="I1857" s="71"/>
      <c r="L1857" s="55" t="str">
        <f t="shared" ca="1" si="59"/>
        <v>NE</v>
      </c>
    </row>
    <row r="1858" spans="1:12" ht="27" thickBot="1">
      <c r="A1858" s="72"/>
      <c r="B1858" s="74"/>
      <c r="C1858" s="71"/>
      <c r="D1858" s="71"/>
      <c r="E1858" s="72"/>
      <c r="F1858" s="70"/>
      <c r="G1858" s="72" t="str">
        <f t="shared" ca="1" si="58"/>
        <v/>
      </c>
      <c r="H1858" s="72"/>
      <c r="I1858" s="71"/>
      <c r="L1858" s="55" t="str">
        <f t="shared" ca="1" si="59"/>
        <v>NE</v>
      </c>
    </row>
    <row r="1859" spans="1:12" ht="27" thickBot="1">
      <c r="A1859" s="72"/>
      <c r="B1859" s="74"/>
      <c r="C1859" s="71"/>
      <c r="D1859" s="71"/>
      <c r="E1859" s="72"/>
      <c r="F1859" s="70"/>
      <c r="G1859" s="72" t="str">
        <f t="shared" ca="1" si="58"/>
        <v/>
      </c>
      <c r="H1859" s="72"/>
      <c r="I1859" s="71"/>
      <c r="L1859" s="55" t="str">
        <f t="shared" ca="1" si="59"/>
        <v>NE</v>
      </c>
    </row>
    <row r="1860" spans="1:12" ht="27" thickBot="1">
      <c r="A1860" s="72"/>
      <c r="B1860" s="74"/>
      <c r="C1860" s="71"/>
      <c r="D1860" s="71"/>
      <c r="E1860" s="72"/>
      <c r="F1860" s="70"/>
      <c r="G1860" s="72" t="str">
        <f t="shared" ca="1" si="58"/>
        <v/>
      </c>
      <c r="H1860" s="72"/>
      <c r="I1860" s="71"/>
      <c r="L1860" s="55" t="str">
        <f t="shared" ca="1" si="59"/>
        <v>NE</v>
      </c>
    </row>
    <row r="1861" spans="1:12" ht="27" thickBot="1">
      <c r="A1861" s="72"/>
      <c r="B1861" s="74"/>
      <c r="C1861" s="71"/>
      <c r="D1861" s="71"/>
      <c r="E1861" s="72"/>
      <c r="F1861" s="70"/>
      <c r="G1861" s="72" t="str">
        <f t="shared" ca="1" si="58"/>
        <v/>
      </c>
      <c r="H1861" s="72"/>
      <c r="I1861" s="71"/>
      <c r="L1861" s="55" t="str">
        <f t="shared" ca="1" si="59"/>
        <v>NE</v>
      </c>
    </row>
    <row r="1862" spans="1:12" ht="27" thickBot="1">
      <c r="A1862" s="72"/>
      <c r="B1862" s="74"/>
      <c r="C1862" s="71"/>
      <c r="D1862" s="71"/>
      <c r="E1862" s="72"/>
      <c r="F1862" s="70"/>
      <c r="G1862" s="72" t="str">
        <f t="shared" ca="1" si="58"/>
        <v/>
      </c>
      <c r="H1862" s="72"/>
      <c r="I1862" s="71"/>
      <c r="L1862" s="55" t="str">
        <f t="shared" ca="1" si="59"/>
        <v>NE</v>
      </c>
    </row>
    <row r="1863" spans="1:12" ht="27" thickBot="1">
      <c r="A1863" s="72"/>
      <c r="B1863" s="74"/>
      <c r="C1863" s="71"/>
      <c r="D1863" s="71"/>
      <c r="E1863" s="72"/>
      <c r="F1863" s="70"/>
      <c r="G1863" s="72" t="str">
        <f t="shared" ca="1" si="58"/>
        <v/>
      </c>
      <c r="H1863" s="72"/>
      <c r="I1863" s="71"/>
      <c r="L1863" s="55" t="str">
        <f t="shared" ca="1" si="59"/>
        <v>NE</v>
      </c>
    </row>
    <row r="1864" spans="1:12" ht="27" thickBot="1">
      <c r="A1864" s="72"/>
      <c r="B1864" s="74"/>
      <c r="C1864" s="71"/>
      <c r="D1864" s="71"/>
      <c r="E1864" s="72"/>
      <c r="F1864" s="70"/>
      <c r="G1864" s="72" t="str">
        <f t="shared" ca="1" si="58"/>
        <v/>
      </c>
      <c r="H1864" s="72"/>
      <c r="I1864" s="71"/>
      <c r="L1864" s="55" t="str">
        <f t="shared" ca="1" si="59"/>
        <v>NE</v>
      </c>
    </row>
    <row r="1865" spans="1:12" ht="27" thickBot="1">
      <c r="A1865" s="72"/>
      <c r="B1865" s="74"/>
      <c r="C1865" s="71"/>
      <c r="D1865" s="71"/>
      <c r="E1865" s="72"/>
      <c r="F1865" s="70"/>
      <c r="G1865" s="72" t="str">
        <f t="shared" ca="1" si="58"/>
        <v/>
      </c>
      <c r="H1865" s="72"/>
      <c r="I1865" s="71"/>
      <c r="L1865" s="55" t="str">
        <f t="shared" ca="1" si="59"/>
        <v>NE</v>
      </c>
    </row>
    <row r="1866" spans="1:12" ht="27" thickBot="1">
      <c r="A1866" s="72"/>
      <c r="B1866" s="74"/>
      <c r="C1866" s="71"/>
      <c r="D1866" s="71"/>
      <c r="E1866" s="72"/>
      <c r="F1866" s="70"/>
      <c r="G1866" s="72" t="str">
        <f t="shared" ca="1" si="58"/>
        <v/>
      </c>
      <c r="H1866" s="72"/>
      <c r="I1866" s="71"/>
      <c r="L1866" s="55" t="str">
        <f t="shared" ca="1" si="59"/>
        <v>NE</v>
      </c>
    </row>
    <row r="1867" spans="1:12" ht="27" thickBot="1">
      <c r="A1867" s="72"/>
      <c r="B1867" s="74"/>
      <c r="C1867" s="71"/>
      <c r="D1867" s="71"/>
      <c r="E1867" s="72"/>
      <c r="F1867" s="70"/>
      <c r="G1867" s="72" t="str">
        <f t="shared" ca="1" si="58"/>
        <v/>
      </c>
      <c r="H1867" s="72"/>
      <c r="I1867" s="71"/>
      <c r="L1867" s="55" t="str">
        <f t="shared" ca="1" si="59"/>
        <v>NE</v>
      </c>
    </row>
    <row r="1868" spans="1:12" ht="27" thickBot="1">
      <c r="A1868" s="72"/>
      <c r="B1868" s="74"/>
      <c r="C1868" s="71"/>
      <c r="D1868" s="71"/>
      <c r="E1868" s="72"/>
      <c r="F1868" s="70"/>
      <c r="G1868" s="72" t="str">
        <f t="shared" ca="1" si="58"/>
        <v/>
      </c>
      <c r="H1868" s="72"/>
      <c r="I1868" s="71"/>
      <c r="L1868" s="55" t="str">
        <f t="shared" ca="1" si="59"/>
        <v>NE</v>
      </c>
    </row>
    <row r="1869" spans="1:12" ht="27" thickBot="1">
      <c r="A1869" s="72"/>
      <c r="B1869" s="74"/>
      <c r="C1869" s="71"/>
      <c r="D1869" s="71"/>
      <c r="E1869" s="72"/>
      <c r="F1869" s="70"/>
      <c r="G1869" s="72" t="str">
        <f t="shared" ca="1" si="58"/>
        <v/>
      </c>
      <c r="H1869" s="72"/>
      <c r="I1869" s="71"/>
      <c r="L1869" s="55" t="str">
        <f t="shared" ca="1" si="59"/>
        <v>NE</v>
      </c>
    </row>
    <row r="1870" spans="1:12" ht="27" thickBot="1">
      <c r="A1870" s="72"/>
      <c r="B1870" s="74"/>
      <c r="C1870" s="71"/>
      <c r="D1870" s="71"/>
      <c r="E1870" s="72"/>
      <c r="F1870" s="70"/>
      <c r="G1870" s="72" t="str">
        <f t="shared" ca="1" si="58"/>
        <v/>
      </c>
      <c r="H1870" s="72"/>
      <c r="I1870" s="71"/>
      <c r="L1870" s="55" t="str">
        <f t="shared" ca="1" si="59"/>
        <v>NE</v>
      </c>
    </row>
    <row r="1871" spans="1:12" ht="27" thickBot="1">
      <c r="A1871" s="72"/>
      <c r="B1871" s="74"/>
      <c r="C1871" s="71"/>
      <c r="D1871" s="71"/>
      <c r="E1871" s="72"/>
      <c r="F1871" s="70"/>
      <c r="G1871" s="72" t="str">
        <f t="shared" ca="1" si="58"/>
        <v/>
      </c>
      <c r="H1871" s="72"/>
      <c r="I1871" s="71"/>
      <c r="L1871" s="55" t="str">
        <f t="shared" ca="1" si="59"/>
        <v>NE</v>
      </c>
    </row>
    <row r="1872" spans="1:12" ht="27" thickBot="1">
      <c r="A1872" s="72"/>
      <c r="B1872" s="74"/>
      <c r="C1872" s="71"/>
      <c r="D1872" s="71"/>
      <c r="E1872" s="72"/>
      <c r="F1872" s="70"/>
      <c r="G1872" s="72" t="str">
        <f t="shared" ca="1" si="58"/>
        <v/>
      </c>
      <c r="H1872" s="72"/>
      <c r="I1872" s="71"/>
      <c r="L1872" s="55" t="str">
        <f t="shared" ca="1" si="59"/>
        <v>NE</v>
      </c>
    </row>
    <row r="1873" spans="1:12" ht="27" thickBot="1">
      <c r="A1873" s="72"/>
      <c r="B1873" s="74"/>
      <c r="C1873" s="71"/>
      <c r="D1873" s="71"/>
      <c r="E1873" s="72"/>
      <c r="F1873" s="70"/>
      <c r="G1873" s="72" t="str">
        <f t="shared" ca="1" si="58"/>
        <v/>
      </c>
      <c r="H1873" s="72"/>
      <c r="I1873" s="71"/>
      <c r="L1873" s="55" t="str">
        <f t="shared" ca="1" si="59"/>
        <v>NE</v>
      </c>
    </row>
    <row r="1874" spans="1:12" ht="27" thickBot="1">
      <c r="A1874" s="72"/>
      <c r="B1874" s="74"/>
      <c r="C1874" s="71"/>
      <c r="D1874" s="71"/>
      <c r="E1874" s="72"/>
      <c r="F1874" s="70"/>
      <c r="G1874" s="72" t="str">
        <f t="shared" ca="1" si="58"/>
        <v/>
      </c>
      <c r="H1874" s="72"/>
      <c r="I1874" s="71"/>
      <c r="L1874" s="55" t="str">
        <f t="shared" ca="1" si="59"/>
        <v>NE</v>
      </c>
    </row>
    <row r="1875" spans="1:12" ht="27" thickBot="1">
      <c r="A1875" s="72"/>
      <c r="B1875" s="74"/>
      <c r="C1875" s="71"/>
      <c r="D1875" s="71"/>
      <c r="E1875" s="72"/>
      <c r="F1875" s="70"/>
      <c r="G1875" s="72" t="str">
        <f t="shared" ca="1" si="58"/>
        <v/>
      </c>
      <c r="H1875" s="72"/>
      <c r="I1875" s="71"/>
      <c r="L1875" s="55" t="str">
        <f t="shared" ca="1" si="59"/>
        <v>NE</v>
      </c>
    </row>
    <row r="1876" spans="1:12" ht="27" thickBot="1">
      <c r="A1876" s="72"/>
      <c r="B1876" s="74"/>
      <c r="C1876" s="71"/>
      <c r="D1876" s="71"/>
      <c r="E1876" s="72"/>
      <c r="F1876" s="70"/>
      <c r="G1876" s="72" t="str">
        <f t="shared" ca="1" si="58"/>
        <v/>
      </c>
      <c r="H1876" s="72"/>
      <c r="I1876" s="71"/>
      <c r="L1876" s="55" t="str">
        <f t="shared" ca="1" si="59"/>
        <v>NE</v>
      </c>
    </row>
    <row r="1877" spans="1:12" ht="27" thickBot="1">
      <c r="A1877" s="72"/>
      <c r="B1877" s="74"/>
      <c r="C1877" s="71"/>
      <c r="D1877" s="71"/>
      <c r="E1877" s="72"/>
      <c r="F1877" s="70"/>
      <c r="G1877" s="72" t="str">
        <f t="shared" ca="1" si="58"/>
        <v/>
      </c>
      <c r="H1877" s="72"/>
      <c r="I1877" s="71"/>
      <c r="L1877" s="55" t="str">
        <f t="shared" ca="1" si="59"/>
        <v>NE</v>
      </c>
    </row>
    <row r="1878" spans="1:12" ht="27" thickBot="1">
      <c r="A1878" s="72"/>
      <c r="B1878" s="74"/>
      <c r="C1878" s="71"/>
      <c r="D1878" s="71"/>
      <c r="E1878" s="72"/>
      <c r="F1878" s="70"/>
      <c r="G1878" s="72" t="str">
        <f t="shared" ca="1" si="58"/>
        <v/>
      </c>
      <c r="H1878" s="72"/>
      <c r="I1878" s="71"/>
      <c r="L1878" s="55" t="str">
        <f t="shared" ca="1" si="59"/>
        <v>NE</v>
      </c>
    </row>
    <row r="1879" spans="1:12" ht="27" thickBot="1">
      <c r="A1879" s="72"/>
      <c r="B1879" s="74"/>
      <c r="C1879" s="71"/>
      <c r="D1879" s="71"/>
      <c r="E1879" s="72"/>
      <c r="F1879" s="70"/>
      <c r="G1879" s="72" t="str">
        <f t="shared" ca="1" si="58"/>
        <v/>
      </c>
      <c r="H1879" s="72"/>
      <c r="I1879" s="71"/>
      <c r="L1879" s="55" t="str">
        <f t="shared" ca="1" si="59"/>
        <v>NE</v>
      </c>
    </row>
    <row r="1880" spans="1:12" ht="27" thickBot="1">
      <c r="A1880" s="72"/>
      <c r="B1880" s="74"/>
      <c r="C1880" s="71"/>
      <c r="D1880" s="71"/>
      <c r="E1880" s="72"/>
      <c r="F1880" s="70"/>
      <c r="G1880" s="72" t="str">
        <f t="shared" ca="1" si="58"/>
        <v/>
      </c>
      <c r="H1880" s="72"/>
      <c r="I1880" s="71"/>
      <c r="L1880" s="55" t="str">
        <f t="shared" ca="1" si="59"/>
        <v>NE</v>
      </c>
    </row>
    <row r="1881" spans="1:12" ht="27" thickBot="1">
      <c r="A1881" s="72"/>
      <c r="B1881" s="74"/>
      <c r="C1881" s="71"/>
      <c r="D1881" s="71"/>
      <c r="E1881" s="72"/>
      <c r="F1881" s="70"/>
      <c r="G1881" s="72" t="str">
        <f t="shared" ca="1" si="58"/>
        <v/>
      </c>
      <c r="H1881" s="72"/>
      <c r="I1881" s="71"/>
      <c r="L1881" s="55" t="str">
        <f t="shared" ca="1" si="59"/>
        <v>NE</v>
      </c>
    </row>
    <row r="1882" spans="1:12" ht="27" thickBot="1">
      <c r="A1882" s="72"/>
      <c r="B1882" s="74"/>
      <c r="C1882" s="71"/>
      <c r="D1882" s="71"/>
      <c r="E1882" s="72"/>
      <c r="F1882" s="70"/>
      <c r="G1882" s="72" t="str">
        <f t="shared" ca="1" si="58"/>
        <v/>
      </c>
      <c r="H1882" s="72"/>
      <c r="I1882" s="71"/>
      <c r="L1882" s="55" t="str">
        <f t="shared" ca="1" si="59"/>
        <v>NE</v>
      </c>
    </row>
    <row r="1883" spans="1:12" ht="27" thickBot="1">
      <c r="A1883" s="72"/>
      <c r="B1883" s="74"/>
      <c r="C1883" s="71"/>
      <c r="D1883" s="71"/>
      <c r="E1883" s="72"/>
      <c r="F1883" s="70"/>
      <c r="G1883" s="72" t="str">
        <f t="shared" ca="1" si="58"/>
        <v/>
      </c>
      <c r="H1883" s="72"/>
      <c r="I1883" s="71"/>
      <c r="L1883" s="55" t="str">
        <f t="shared" ca="1" si="59"/>
        <v>NE</v>
      </c>
    </row>
    <row r="1884" spans="1:12" ht="27" thickBot="1">
      <c r="A1884" s="72"/>
      <c r="B1884" s="74"/>
      <c r="C1884" s="71"/>
      <c r="D1884" s="71"/>
      <c r="E1884" s="72"/>
      <c r="F1884" s="70"/>
      <c r="G1884" s="72" t="str">
        <f t="shared" ca="1" si="58"/>
        <v/>
      </c>
      <c r="H1884" s="72"/>
      <c r="I1884" s="71"/>
      <c r="L1884" s="55" t="str">
        <f t="shared" ca="1" si="59"/>
        <v>NE</v>
      </c>
    </row>
    <row r="1885" spans="1:12" ht="27" thickBot="1">
      <c r="A1885" s="72"/>
      <c r="B1885" s="74"/>
      <c r="C1885" s="71"/>
      <c r="D1885" s="71"/>
      <c r="E1885" s="72"/>
      <c r="F1885" s="70"/>
      <c r="G1885" s="72" t="str">
        <f t="shared" ca="1" si="58"/>
        <v/>
      </c>
      <c r="H1885" s="72"/>
      <c r="I1885" s="71"/>
      <c r="L1885" s="55" t="str">
        <f t="shared" ca="1" si="59"/>
        <v>NE</v>
      </c>
    </row>
    <row r="1886" spans="1:12" ht="27" thickBot="1">
      <c r="A1886" s="72"/>
      <c r="B1886" s="74"/>
      <c r="C1886" s="71"/>
      <c r="D1886" s="71"/>
      <c r="E1886" s="72"/>
      <c r="F1886" s="70"/>
      <c r="G1886" s="72" t="str">
        <f t="shared" ca="1" si="58"/>
        <v/>
      </c>
      <c r="H1886" s="72"/>
      <c r="I1886" s="71"/>
      <c r="L1886" s="55" t="str">
        <f t="shared" ca="1" si="59"/>
        <v>NE</v>
      </c>
    </row>
    <row r="1887" spans="1:12" ht="27" thickBot="1">
      <c r="A1887" s="72"/>
      <c r="B1887" s="74"/>
      <c r="C1887" s="71"/>
      <c r="D1887" s="71"/>
      <c r="E1887" s="72"/>
      <c r="F1887" s="70"/>
      <c r="G1887" s="72" t="str">
        <f t="shared" ca="1" si="58"/>
        <v/>
      </c>
      <c r="H1887" s="72"/>
      <c r="I1887" s="71"/>
      <c r="L1887" s="55" t="str">
        <f t="shared" ca="1" si="59"/>
        <v>NE</v>
      </c>
    </row>
    <row r="1888" spans="1:12" ht="27" thickBot="1">
      <c r="A1888" s="72"/>
      <c r="B1888" s="74"/>
      <c r="C1888" s="71"/>
      <c r="D1888" s="71"/>
      <c r="E1888" s="72"/>
      <c r="F1888" s="70"/>
      <c r="G1888" s="72" t="str">
        <f t="shared" ca="1" si="58"/>
        <v/>
      </c>
      <c r="H1888" s="72"/>
      <c r="I1888" s="71"/>
      <c r="L1888" s="55" t="str">
        <f t="shared" ca="1" si="59"/>
        <v>NE</v>
      </c>
    </row>
    <row r="1889" spans="1:12" ht="27" thickBot="1">
      <c r="A1889" s="72"/>
      <c r="B1889" s="74"/>
      <c r="C1889" s="71"/>
      <c r="D1889" s="71"/>
      <c r="E1889" s="72"/>
      <c r="F1889" s="70"/>
      <c r="G1889" s="72" t="str">
        <f t="shared" ca="1" si="58"/>
        <v/>
      </c>
      <c r="H1889" s="72"/>
      <c r="I1889" s="71"/>
      <c r="L1889" s="55" t="str">
        <f t="shared" ca="1" si="59"/>
        <v>NE</v>
      </c>
    </row>
    <row r="1890" spans="1:12" ht="27" thickBot="1">
      <c r="A1890" s="72"/>
      <c r="B1890" s="74"/>
      <c r="C1890" s="71"/>
      <c r="D1890" s="71"/>
      <c r="E1890" s="72"/>
      <c r="F1890" s="70"/>
      <c r="G1890" s="72" t="str">
        <f t="shared" ca="1" si="58"/>
        <v/>
      </c>
      <c r="H1890" s="72"/>
      <c r="I1890" s="71"/>
      <c r="L1890" s="55" t="str">
        <f t="shared" ca="1" si="59"/>
        <v>NE</v>
      </c>
    </row>
    <row r="1891" spans="1:12" ht="27" thickBot="1">
      <c r="A1891" s="72"/>
      <c r="B1891" s="74"/>
      <c r="C1891" s="71"/>
      <c r="D1891" s="71"/>
      <c r="E1891" s="72"/>
      <c r="F1891" s="70"/>
      <c r="G1891" s="72" t="str">
        <f t="shared" ca="1" si="58"/>
        <v/>
      </c>
      <c r="H1891" s="72"/>
      <c r="I1891" s="71"/>
      <c r="L1891" s="55" t="str">
        <f t="shared" ca="1" si="59"/>
        <v>NE</v>
      </c>
    </row>
    <row r="1892" spans="1:12" ht="27" thickBot="1">
      <c r="A1892" s="72"/>
      <c r="B1892" s="74"/>
      <c r="C1892" s="71"/>
      <c r="D1892" s="71"/>
      <c r="E1892" s="72"/>
      <c r="F1892" s="70"/>
      <c r="G1892" s="72" t="str">
        <f t="shared" ca="1" si="58"/>
        <v/>
      </c>
      <c r="H1892" s="72"/>
      <c r="I1892" s="71"/>
      <c r="L1892" s="55" t="str">
        <f t="shared" ca="1" si="59"/>
        <v>NE</v>
      </c>
    </row>
    <row r="1893" spans="1:12" ht="27" thickBot="1">
      <c r="A1893" s="72"/>
      <c r="B1893" s="74"/>
      <c r="C1893" s="71"/>
      <c r="D1893" s="71"/>
      <c r="E1893" s="72"/>
      <c r="F1893" s="70"/>
      <c r="G1893" s="72" t="str">
        <f t="shared" ca="1" si="58"/>
        <v/>
      </c>
      <c r="H1893" s="72"/>
      <c r="I1893" s="71"/>
      <c r="L1893" s="55" t="str">
        <f t="shared" ca="1" si="59"/>
        <v>NE</v>
      </c>
    </row>
    <row r="1894" spans="1:12" ht="27" thickBot="1">
      <c r="A1894" s="72"/>
      <c r="B1894" s="74"/>
      <c r="C1894" s="71"/>
      <c r="D1894" s="71"/>
      <c r="E1894" s="72"/>
      <c r="F1894" s="70"/>
      <c r="G1894" s="72" t="str">
        <f t="shared" ca="1" si="58"/>
        <v/>
      </c>
      <c r="H1894" s="72"/>
      <c r="I1894" s="71"/>
      <c r="L1894" s="55" t="str">
        <f t="shared" ca="1" si="59"/>
        <v>NE</v>
      </c>
    </row>
    <row r="1895" spans="1:12" ht="27" thickBot="1">
      <c r="A1895" s="72"/>
      <c r="B1895" s="74"/>
      <c r="C1895" s="71"/>
      <c r="D1895" s="71"/>
      <c r="E1895" s="72"/>
      <c r="F1895" s="70"/>
      <c r="G1895" s="72" t="str">
        <f t="shared" ca="1" si="58"/>
        <v/>
      </c>
      <c r="H1895" s="72"/>
      <c r="I1895" s="71"/>
      <c r="L1895" s="55" t="str">
        <f t="shared" ca="1" si="59"/>
        <v>NE</v>
      </c>
    </row>
    <row r="1896" spans="1:12" ht="27" thickBot="1">
      <c r="A1896" s="72"/>
      <c r="B1896" s="74"/>
      <c r="C1896" s="71"/>
      <c r="D1896" s="71"/>
      <c r="E1896" s="72"/>
      <c r="F1896" s="70"/>
      <c r="G1896" s="72" t="str">
        <f t="shared" ca="1" si="58"/>
        <v/>
      </c>
      <c r="H1896" s="72"/>
      <c r="I1896" s="71"/>
      <c r="L1896" s="55" t="str">
        <f t="shared" ca="1" si="59"/>
        <v>NE</v>
      </c>
    </row>
    <row r="1897" spans="1:12" ht="27" thickBot="1">
      <c r="A1897" s="72"/>
      <c r="B1897" s="74"/>
      <c r="C1897" s="71"/>
      <c r="D1897" s="71"/>
      <c r="E1897" s="72"/>
      <c r="F1897" s="70"/>
      <c r="G1897" s="72" t="str">
        <f t="shared" ca="1" si="58"/>
        <v/>
      </c>
      <c r="H1897" s="72"/>
      <c r="I1897" s="71"/>
      <c r="L1897" s="55" t="str">
        <f t="shared" ca="1" si="59"/>
        <v>NE</v>
      </c>
    </row>
    <row r="1898" spans="1:12" ht="27" thickBot="1">
      <c r="A1898" s="72"/>
      <c r="B1898" s="74"/>
      <c r="C1898" s="71"/>
      <c r="D1898" s="71"/>
      <c r="E1898" s="72"/>
      <c r="F1898" s="70"/>
      <c r="G1898" s="72" t="str">
        <f t="shared" ca="1" si="58"/>
        <v/>
      </c>
      <c r="H1898" s="72"/>
      <c r="I1898" s="71"/>
      <c r="L1898" s="55" t="str">
        <f t="shared" ca="1" si="59"/>
        <v>NE</v>
      </c>
    </row>
    <row r="1899" spans="1:12" ht="27" thickBot="1">
      <c r="A1899" s="72"/>
      <c r="B1899" s="74"/>
      <c r="C1899" s="71"/>
      <c r="D1899" s="71"/>
      <c r="E1899" s="72"/>
      <c r="F1899" s="70"/>
      <c r="G1899" s="72" t="str">
        <f t="shared" ca="1" si="58"/>
        <v/>
      </c>
      <c r="H1899" s="72"/>
      <c r="I1899" s="71"/>
      <c r="L1899" s="55" t="str">
        <f t="shared" ca="1" si="59"/>
        <v>NE</v>
      </c>
    </row>
    <row r="1900" spans="1:12" ht="27" thickBot="1">
      <c r="A1900" s="72"/>
      <c r="B1900" s="74"/>
      <c r="C1900" s="71"/>
      <c r="D1900" s="71"/>
      <c r="E1900" s="72"/>
      <c r="F1900" s="70"/>
      <c r="G1900" s="72" t="str">
        <f t="shared" ca="1" si="58"/>
        <v/>
      </c>
      <c r="H1900" s="72"/>
      <c r="I1900" s="71"/>
      <c r="L1900" s="55" t="str">
        <f t="shared" ca="1" si="59"/>
        <v>NE</v>
      </c>
    </row>
    <row r="1901" spans="1:12" ht="27" thickBot="1">
      <c r="A1901" s="72"/>
      <c r="B1901" s="74"/>
      <c r="C1901" s="71"/>
      <c r="D1901" s="71"/>
      <c r="E1901" s="72"/>
      <c r="F1901" s="70"/>
      <c r="G1901" s="72" t="str">
        <f t="shared" ca="1" si="58"/>
        <v/>
      </c>
      <c r="H1901" s="72"/>
      <c r="I1901" s="71"/>
      <c r="L1901" s="55" t="str">
        <f t="shared" ca="1" si="59"/>
        <v>NE</v>
      </c>
    </row>
    <row r="1902" spans="1:12" ht="27" thickBot="1">
      <c r="A1902" s="72"/>
      <c r="B1902" s="74"/>
      <c r="C1902" s="71"/>
      <c r="D1902" s="71"/>
      <c r="E1902" s="72"/>
      <c r="F1902" s="70"/>
      <c r="G1902" s="72" t="str">
        <f t="shared" ref="G1902:G1912" ca="1" si="60">IF(ISBLANK(F1902),"",IF(F1902&gt;=TODAY(), "Non Echue", "Echue"))</f>
        <v/>
      </c>
      <c r="H1902" s="72"/>
      <c r="I1902" s="71"/>
      <c r="L1902" s="55" t="str">
        <f t="shared" ref="L1902:L1912" ca="1" si="61" xml:space="preserve"> IF(G1902 = "Echue",IF(H1902 = "Appliqué","EAP","NAP"),"NE")</f>
        <v>NE</v>
      </c>
    </row>
    <row r="1903" spans="1:12" ht="27" thickBot="1">
      <c r="A1903" s="72"/>
      <c r="B1903" s="74"/>
      <c r="C1903" s="71"/>
      <c r="D1903" s="71"/>
      <c r="E1903" s="72"/>
      <c r="F1903" s="70"/>
      <c r="G1903" s="72" t="str">
        <f t="shared" ca="1" si="60"/>
        <v/>
      </c>
      <c r="H1903" s="72"/>
      <c r="I1903" s="71"/>
      <c r="L1903" s="55" t="str">
        <f t="shared" ca="1" si="61"/>
        <v>NE</v>
      </c>
    </row>
    <row r="1904" spans="1:12" ht="27" thickBot="1">
      <c r="A1904" s="72"/>
      <c r="B1904" s="74"/>
      <c r="C1904" s="71"/>
      <c r="D1904" s="71"/>
      <c r="E1904" s="72"/>
      <c r="F1904" s="70"/>
      <c r="G1904" s="72" t="str">
        <f t="shared" ca="1" si="60"/>
        <v/>
      </c>
      <c r="H1904" s="72"/>
      <c r="I1904" s="71"/>
      <c r="L1904" s="55" t="str">
        <f t="shared" ca="1" si="61"/>
        <v>NE</v>
      </c>
    </row>
    <row r="1905" spans="1:12" ht="27" thickBot="1">
      <c r="A1905" s="72"/>
      <c r="B1905" s="74"/>
      <c r="C1905" s="71"/>
      <c r="D1905" s="71"/>
      <c r="E1905" s="72"/>
      <c r="F1905" s="70"/>
      <c r="G1905" s="72" t="str">
        <f t="shared" ca="1" si="60"/>
        <v/>
      </c>
      <c r="H1905" s="72"/>
      <c r="I1905" s="71"/>
      <c r="L1905" s="55" t="str">
        <f t="shared" ca="1" si="61"/>
        <v>NE</v>
      </c>
    </row>
    <row r="1906" spans="1:12" ht="27" thickBot="1">
      <c r="A1906" s="72"/>
      <c r="B1906" s="74"/>
      <c r="C1906" s="71"/>
      <c r="D1906" s="71"/>
      <c r="E1906" s="72"/>
      <c r="F1906" s="70"/>
      <c r="G1906" s="72" t="str">
        <f t="shared" ca="1" si="60"/>
        <v/>
      </c>
      <c r="H1906" s="72"/>
      <c r="I1906" s="71"/>
      <c r="L1906" s="55" t="str">
        <f t="shared" ca="1" si="61"/>
        <v>NE</v>
      </c>
    </row>
    <row r="1907" spans="1:12" ht="27" thickBot="1">
      <c r="A1907" s="72"/>
      <c r="B1907" s="74"/>
      <c r="C1907" s="71"/>
      <c r="D1907" s="71"/>
      <c r="E1907" s="72"/>
      <c r="F1907" s="70"/>
      <c r="G1907" s="72" t="str">
        <f t="shared" ca="1" si="60"/>
        <v/>
      </c>
      <c r="H1907" s="72"/>
      <c r="I1907" s="71"/>
      <c r="L1907" s="55" t="str">
        <f t="shared" ca="1" si="61"/>
        <v>NE</v>
      </c>
    </row>
    <row r="1908" spans="1:12" ht="27" thickBot="1">
      <c r="A1908" s="72"/>
      <c r="B1908" s="74"/>
      <c r="C1908" s="71"/>
      <c r="D1908" s="71"/>
      <c r="E1908" s="72"/>
      <c r="F1908" s="70"/>
      <c r="G1908" s="72" t="str">
        <f t="shared" ca="1" si="60"/>
        <v/>
      </c>
      <c r="H1908" s="72"/>
      <c r="I1908" s="71"/>
      <c r="L1908" s="55" t="str">
        <f t="shared" ca="1" si="61"/>
        <v>NE</v>
      </c>
    </row>
    <row r="1909" spans="1:12" ht="27" thickBot="1">
      <c r="A1909" s="72"/>
      <c r="B1909" s="74"/>
      <c r="C1909" s="71"/>
      <c r="D1909" s="71"/>
      <c r="E1909" s="72"/>
      <c r="F1909" s="70"/>
      <c r="G1909" s="72" t="str">
        <f t="shared" ca="1" si="60"/>
        <v/>
      </c>
      <c r="H1909" s="72"/>
      <c r="I1909" s="71"/>
      <c r="L1909" s="55" t="str">
        <f t="shared" ca="1" si="61"/>
        <v>NE</v>
      </c>
    </row>
    <row r="1910" spans="1:12" ht="27" thickBot="1">
      <c r="A1910" s="72"/>
      <c r="B1910" s="74"/>
      <c r="C1910" s="71"/>
      <c r="D1910" s="71"/>
      <c r="E1910" s="72"/>
      <c r="F1910" s="70"/>
      <c r="G1910" s="72" t="str">
        <f t="shared" ca="1" si="60"/>
        <v/>
      </c>
      <c r="H1910" s="72"/>
      <c r="I1910" s="71"/>
      <c r="L1910" s="55" t="str">
        <f t="shared" ca="1" si="61"/>
        <v>NE</v>
      </c>
    </row>
    <row r="1911" spans="1:12" ht="27" thickBot="1">
      <c r="A1911" s="72"/>
      <c r="B1911" s="74"/>
      <c r="C1911" s="71"/>
      <c r="D1911" s="71"/>
      <c r="E1911" s="72"/>
      <c r="F1911" s="70"/>
      <c r="G1911" s="72" t="str">
        <f t="shared" ca="1" si="60"/>
        <v/>
      </c>
      <c r="H1911" s="72"/>
      <c r="I1911" s="71"/>
      <c r="L1911" s="55" t="str">
        <f t="shared" ca="1" si="61"/>
        <v>NE</v>
      </c>
    </row>
    <row r="1912" spans="1:12" ht="27" thickBot="1">
      <c r="A1912" s="72"/>
      <c r="B1912" s="74"/>
      <c r="C1912" s="71"/>
      <c r="D1912" s="71"/>
      <c r="E1912" s="72"/>
      <c r="F1912" s="70"/>
      <c r="G1912" s="72" t="str">
        <f t="shared" ca="1" si="60"/>
        <v/>
      </c>
      <c r="H1912" s="72"/>
      <c r="I1912" s="71"/>
      <c r="L1912" s="55" t="str">
        <f t="shared" ca="1" si="61"/>
        <v>NE</v>
      </c>
    </row>
  </sheetData>
  <mergeCells count="5">
    <mergeCell ref="A1:I1"/>
    <mergeCell ref="A6:G6"/>
    <mergeCell ref="A2:C2"/>
    <mergeCell ref="A3:C3"/>
    <mergeCell ref="A4:C4"/>
  </mergeCells>
  <conditionalFormatting sqref="A8:I1912">
    <cfRule type="expression" dxfId="86" priority="375">
      <formula>$H8="N/A"</formula>
    </cfRule>
    <cfRule type="expression" dxfId="85" priority="374">
      <formula>$G8="Echue"</formula>
    </cfRule>
    <cfRule type="expression" dxfId="84" priority="373">
      <formula>$H8="Appliqué"</formula>
    </cfRule>
    <cfRule type="expression" dxfId="83" priority="359">
      <formula>$H8=100%</formula>
    </cfRule>
    <cfRule type="expression" dxfId="82" priority="341">
      <formula>$H8="N/A"</formula>
    </cfRule>
    <cfRule type="expression" dxfId="81" priority="340">
      <formula>$G8="Echue"</formula>
    </cfRule>
    <cfRule type="expression" dxfId="80" priority="339">
      <formula>$H8="Appliqué"</formula>
    </cfRule>
  </conditionalFormatting>
  <conditionalFormatting sqref="C8:E12 E13">
    <cfRule type="expression" dxfId="79" priority="294">
      <formula>$I8=100%</formula>
    </cfRule>
    <cfRule type="expression" dxfId="78" priority="293" stopIfTrue="1">
      <formula>$H8="Echue"</formula>
    </cfRule>
    <cfRule type="expression" dxfId="77" priority="292">
      <formula>$I8="Appliqué"</formula>
    </cfRule>
  </conditionalFormatting>
  <conditionalFormatting sqref="C8:F12">
    <cfRule type="expression" dxfId="76" priority="286">
      <formula>$I8=100%</formula>
    </cfRule>
    <cfRule type="expression" dxfId="75" priority="283" stopIfTrue="1">
      <formula>$I8="N/A"</formula>
    </cfRule>
    <cfRule type="expression" dxfId="74" priority="285" stopIfTrue="1">
      <formula>$H8="Echue"</formula>
    </cfRule>
    <cfRule type="expression" dxfId="73" priority="284">
      <formula>$I8="Appliqué"</formula>
    </cfRule>
  </conditionalFormatting>
  <conditionalFormatting sqref="C11:F11 E12:E13">
    <cfRule type="expression" dxfId="72" priority="196">
      <formula>$M11="Appliqué"</formula>
    </cfRule>
    <cfRule type="expression" dxfId="71" priority="197" stopIfTrue="1">
      <formula>$L11="Echue"</formula>
    </cfRule>
    <cfRule type="expression" dxfId="70" priority="198">
      <formula>$M11=100%</formula>
    </cfRule>
    <cfRule type="expression" dxfId="69" priority="195" stopIfTrue="1">
      <formula>$M11="N/A"</formula>
    </cfRule>
  </conditionalFormatting>
  <conditionalFormatting sqref="E8:E10">
    <cfRule type="expression" dxfId="68" priority="204">
      <formula>$I8="Appliqué"</formula>
    </cfRule>
    <cfRule type="expression" dxfId="67" priority="308">
      <formula>$I8="Appliqué"</formula>
    </cfRule>
    <cfRule type="expression" dxfId="66" priority="199" stopIfTrue="1">
      <formula>$I8="N/A"</formula>
    </cfRule>
    <cfRule type="expression" dxfId="65" priority="200">
      <formula>$I8="Appliqué"</formula>
    </cfRule>
    <cfRule type="expression" dxfId="64" priority="201" stopIfTrue="1">
      <formula>$H8="Echue"</formula>
    </cfRule>
    <cfRule type="expression" dxfId="63" priority="205" stopIfTrue="1">
      <formula>$H8="Echue"</formula>
    </cfRule>
    <cfRule type="expression" dxfId="62" priority="314">
      <formula>$I8=100%</formula>
    </cfRule>
    <cfRule type="expression" dxfId="61" priority="313" stopIfTrue="1">
      <formula>$H8="Echue"</formula>
    </cfRule>
    <cfRule type="expression" dxfId="60" priority="312">
      <formula>$I8="Appliqué"</formula>
    </cfRule>
    <cfRule type="expression" dxfId="59" priority="311" stopIfTrue="1">
      <formula>$I8="N/A"</formula>
    </cfRule>
    <cfRule type="expression" dxfId="58" priority="310">
      <formula>$I8=100%</formula>
    </cfRule>
    <cfRule type="expression" dxfId="57" priority="309" stopIfTrue="1">
      <formula>$H8="Echue"</formula>
    </cfRule>
    <cfRule type="expression" dxfId="56" priority="203" stopIfTrue="1">
      <formula>$I8="N/A"</formula>
    </cfRule>
    <cfRule type="expression" dxfId="55" priority="202">
      <formula>$I8=100%</formula>
    </cfRule>
    <cfRule type="expression" dxfId="54" priority="307" stopIfTrue="1">
      <formula>$I8="N/A"</formula>
    </cfRule>
    <cfRule type="expression" dxfId="53" priority="206">
      <formula>$I8=100%</formula>
    </cfRule>
  </conditionalFormatting>
  <conditionalFormatting sqref="E13 C8:E12">
    <cfRule type="expression" dxfId="52" priority="291" stopIfTrue="1">
      <formula>$I8="N/A"</formula>
    </cfRule>
  </conditionalFormatting>
  <conditionalFormatting sqref="E13">
    <cfRule type="expression" dxfId="51" priority="290">
      <formula>$I13=100%</formula>
    </cfRule>
    <cfRule type="expression" dxfId="50" priority="289" stopIfTrue="1">
      <formula>$H13="Echue"</formula>
    </cfRule>
    <cfRule type="expression" dxfId="49" priority="288">
      <formula>$I13="Appliqué"</formula>
    </cfRule>
    <cfRule type="expression" dxfId="48" priority="287" stopIfTrue="1">
      <formula>$I13="N/A"</formula>
    </cfRule>
  </conditionalFormatting>
  <conditionalFormatting sqref="F8:F12">
    <cfRule type="expression" dxfId="47" priority="278">
      <formula>$I8=100%</formula>
    </cfRule>
    <cfRule type="expression" dxfId="46" priority="279" stopIfTrue="1">
      <formula>$I8="N/A"</formula>
    </cfRule>
    <cfRule type="expression" dxfId="45" priority="280">
      <formula>$I8="Appliqué"</formula>
    </cfRule>
    <cfRule type="expression" dxfId="44" priority="281" stopIfTrue="1">
      <formula>$H8="Echue"</formula>
    </cfRule>
    <cfRule type="expression" dxfId="43" priority="277" stopIfTrue="1">
      <formula>$H8="Echue"</formula>
    </cfRule>
    <cfRule type="expression" dxfId="42" priority="276">
      <formula>$I8="Appliqué"</formula>
    </cfRule>
    <cfRule type="expression" dxfId="41" priority="275" stopIfTrue="1">
      <formula>$I8="N/A"</formula>
    </cfRule>
    <cfRule type="expression" dxfId="40" priority="282">
      <formula>$I8=100%</formula>
    </cfRule>
  </conditionalFormatting>
  <dataValidations count="2">
    <dataValidation type="list" allowBlank="1" showInputMessage="1" showErrorMessage="1" sqref="H8:H1912" xr:uid="{00000000-0002-0000-0300-000000000000}">
      <formula1>"Appliqué, Non Appliqué"</formula1>
    </dataValidation>
    <dataValidation type="list" allowBlank="1" showInputMessage="1" showErrorMessage="1" sqref="G8:G1912" xr:uid="{00000000-0002-0000-0300-000001000000}">
      <formula1>"Echue, Non Echue"</formula1>
    </dataValidation>
  </dataValidations>
  <pageMargins left="0.7" right="0.7" top="0.75" bottom="0.75" header="0.3" footer="0.3"/>
  <pageSetup paperSize="9" scale="3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20"/>
  <sheetViews>
    <sheetView showGridLines="0" showWhiteSpace="0" view="pageBreakPreview" zoomScale="70" zoomScaleNormal="70" zoomScaleSheetLayoutView="70" zoomScalePageLayoutView="70" workbookViewId="0">
      <pane ySplit="7" topLeftCell="A8" activePane="bottomLeft" state="frozen"/>
      <selection pane="bottomLeft" activeCell="E8" sqref="E8"/>
    </sheetView>
  </sheetViews>
  <sheetFormatPr baseColWidth="10" defaultRowHeight="15"/>
  <cols>
    <col min="1" max="1" width="12.1640625" customWidth="1"/>
    <col min="2" max="2" width="85" customWidth="1"/>
    <col min="3" max="3" width="12.83203125" customWidth="1"/>
    <col min="4" max="4" width="13.5" customWidth="1"/>
    <col min="5" max="5" width="13.33203125" bestFit="1" customWidth="1"/>
    <col min="6" max="6" width="16" customWidth="1"/>
    <col min="7" max="7" width="18.33203125" bestFit="1" customWidth="1"/>
    <col min="8" max="8" width="76.5" customWidth="1"/>
    <col min="9" max="9" width="89.83203125" customWidth="1"/>
  </cols>
  <sheetData>
    <row r="1" spans="1:9" s="48" customFormat="1" ht="33">
      <c r="A1" s="109" t="s">
        <v>46</v>
      </c>
      <c r="B1" s="110"/>
      <c r="C1" s="110"/>
      <c r="D1" s="110"/>
      <c r="E1" s="110"/>
      <c r="F1" s="110"/>
      <c r="G1" s="110"/>
      <c r="H1" s="110"/>
      <c r="I1" s="110"/>
    </row>
    <row r="2" spans="1:9" s="40" customFormat="1" ht="18" customHeight="1">
      <c r="A2" s="2" t="s">
        <v>58</v>
      </c>
      <c r="B2" s="2"/>
      <c r="C2" s="2"/>
      <c r="D2" s="2"/>
      <c r="E2" s="82"/>
      <c r="F2" s="82"/>
      <c r="G2" s="82"/>
      <c r="H2" s="82"/>
      <c r="I2" s="82"/>
    </row>
    <row r="3" spans="1:9" s="40" customFormat="1" ht="20.25" customHeight="1">
      <c r="A3" s="2" t="s">
        <v>47</v>
      </c>
      <c r="B3" s="2"/>
      <c r="C3" s="2"/>
      <c r="D3" s="2"/>
      <c r="E3" s="82"/>
      <c r="F3" s="41"/>
      <c r="G3" s="41"/>
      <c r="H3" s="41"/>
      <c r="I3" s="42"/>
    </row>
    <row r="4" spans="1:9" s="40" customFormat="1" ht="20">
      <c r="A4" s="2" t="s">
        <v>62</v>
      </c>
      <c r="B4" s="2"/>
      <c r="C4" s="2"/>
      <c r="D4" s="2"/>
      <c r="E4" s="49"/>
      <c r="F4" s="41"/>
      <c r="G4" s="41"/>
      <c r="H4" s="41"/>
      <c r="I4" s="42"/>
    </row>
    <row r="5" spans="1:9" s="43" customFormat="1" ht="14"/>
    <row r="6" spans="1:9" s="47" customFormat="1" ht="34" thickBot="1">
      <c r="A6" s="111" t="s">
        <v>39</v>
      </c>
      <c r="B6" s="111"/>
      <c r="C6" s="111"/>
      <c r="D6" s="111"/>
      <c r="E6" s="111"/>
      <c r="F6" s="111"/>
      <c r="G6" s="45">
        <f>AVERAGE(G8:G11)</f>
        <v>80</v>
      </c>
      <c r="H6" s="46"/>
      <c r="I6" s="46"/>
    </row>
    <row r="7" spans="1:9" s="40" customFormat="1" ht="43.5" customHeight="1" thickBot="1">
      <c r="A7" s="44" t="s">
        <v>49</v>
      </c>
      <c r="B7" s="44" t="s">
        <v>28</v>
      </c>
      <c r="C7" s="44" t="s">
        <v>48</v>
      </c>
      <c r="D7" s="44" t="s">
        <v>29</v>
      </c>
      <c r="E7" s="44" t="s">
        <v>30</v>
      </c>
      <c r="F7" s="44" t="s">
        <v>31</v>
      </c>
      <c r="G7" s="44" t="s">
        <v>32</v>
      </c>
      <c r="H7" s="44" t="s">
        <v>33</v>
      </c>
      <c r="I7" s="44" t="s">
        <v>34</v>
      </c>
    </row>
    <row r="8" spans="1:9" s="40" customFormat="1" ht="49.5" customHeight="1" thickBot="1">
      <c r="A8" s="53" t="s">
        <v>50</v>
      </c>
      <c r="B8" s="51" t="s">
        <v>56</v>
      </c>
      <c r="C8" s="52">
        <v>1</v>
      </c>
      <c r="D8" s="81" t="s">
        <v>63</v>
      </c>
      <c r="E8" s="81" t="s">
        <v>63</v>
      </c>
      <c r="F8" s="52" t="str">
        <f>IF(D8 ="N/A", "N/A",(E8/D8))</f>
        <v>N/A</v>
      </c>
      <c r="G8" s="53" t="str">
        <f>IF(F8 ="N/A","N/A",IF((F8/C8)&lt; 0.5, $I$16, IF((F8/C8)&lt; 0.75,$I$17,IF((F8/C8)&lt; 0.85,$I$18,IF((F8/C8)&lt; 0.95,$I$19,$I$20)))))</f>
        <v>N/A</v>
      </c>
      <c r="H8" s="50"/>
      <c r="I8" s="50"/>
    </row>
    <row r="9" spans="1:9" s="40" customFormat="1" ht="54.75" customHeight="1" thickBot="1">
      <c r="A9" s="53" t="s">
        <v>51</v>
      </c>
      <c r="B9" s="51" t="s">
        <v>53</v>
      </c>
      <c r="C9" s="52">
        <v>0.9</v>
      </c>
      <c r="D9" s="81">
        <v>894</v>
      </c>
      <c r="E9" s="81">
        <v>801</v>
      </c>
      <c r="F9" s="52">
        <f>IF(D9 = "N/A", "N/A",(E9/D9))</f>
        <v>0.89597315436241609</v>
      </c>
      <c r="G9" s="53">
        <f>IF(F9 ="N/A","N/A",IF(F9&lt; 0.45, $I$16, IF(F9&lt; 0.7,$I$17,IF(F9&lt; 0.85,$I$18,IF(F9&lt; 0.9,$I$19,$I$20)))))</f>
        <v>80</v>
      </c>
      <c r="H9" s="50" t="s">
        <v>60</v>
      </c>
      <c r="I9" s="50"/>
    </row>
    <row r="10" spans="1:9" s="40" customFormat="1" ht="55.5" customHeight="1" thickBot="1">
      <c r="A10" s="53" t="s">
        <v>57</v>
      </c>
      <c r="B10" s="51" t="s">
        <v>55</v>
      </c>
      <c r="C10" s="52">
        <v>1</v>
      </c>
      <c r="D10" s="81" t="s">
        <v>63</v>
      </c>
      <c r="E10" s="81" t="s">
        <v>63</v>
      </c>
      <c r="F10" s="52" t="str">
        <f>IF(D10 = "N/A", "N/A",(E10/D10))</f>
        <v>N/A</v>
      </c>
      <c r="G10" s="53" t="str">
        <f>IF(F10 ="N/A","N/A",IF((F10/C10)&lt; 0.5, $I$16, IF((F10/C10)&lt; 0.75,$I$17,IF((F10/C10)&lt; 0.85,$I$18,IF((F10/C10)&lt; 0.95,$I$19,$I$20)))))</f>
        <v>N/A</v>
      </c>
      <c r="H10" s="50"/>
      <c r="I10" s="50"/>
    </row>
    <row r="11" spans="1:9" s="40" customFormat="1" ht="78" customHeight="1" thickBot="1">
      <c r="A11" s="53" t="s">
        <v>52</v>
      </c>
      <c r="B11" s="51" t="s">
        <v>54</v>
      </c>
      <c r="C11" s="54">
        <v>1</v>
      </c>
      <c r="D11" s="81" t="s">
        <v>63</v>
      </c>
      <c r="E11" s="81" t="s">
        <v>63</v>
      </c>
      <c r="F11" s="52" t="str">
        <f>IF(D11 ="N/A","N/A",(E11/D11))</f>
        <v>N/A</v>
      </c>
      <c r="G11" s="53" t="str">
        <f>IF(F11 ="N/A","N/A",IF((F11/C11)&lt; 0.5, $I$16, IF((F11/C11)&lt; 0.75,$I$17,IF((F11/C11)&lt; 0.85,$I$18,IF((F11/C11)&lt; 0.95,$I$19,$I$20)))))</f>
        <v>N/A</v>
      </c>
      <c r="H11" s="50"/>
      <c r="I11" s="50"/>
    </row>
    <row r="14" spans="1:9" ht="17.25" customHeight="1">
      <c r="H14" s="112" t="s">
        <v>35</v>
      </c>
      <c r="I14" s="113"/>
    </row>
    <row r="15" spans="1:9" ht="16" thickBot="1">
      <c r="H15" s="34" t="s">
        <v>36</v>
      </c>
      <c r="I15" s="35" t="s">
        <v>37</v>
      </c>
    </row>
    <row r="16" spans="1:9" ht="16" thickBot="1">
      <c r="H16" s="36" t="s">
        <v>40</v>
      </c>
      <c r="I16" s="37">
        <v>10</v>
      </c>
    </row>
    <row r="17" spans="8:9" ht="16" thickBot="1">
      <c r="H17" s="38" t="s">
        <v>41</v>
      </c>
      <c r="I17" s="39">
        <v>30</v>
      </c>
    </row>
    <row r="18" spans="8:9" ht="16" thickBot="1">
      <c r="H18" s="36" t="s">
        <v>42</v>
      </c>
      <c r="I18" s="37">
        <v>50</v>
      </c>
    </row>
    <row r="19" spans="8:9" ht="16" thickBot="1">
      <c r="H19" s="38" t="s">
        <v>43</v>
      </c>
      <c r="I19" s="39">
        <v>80</v>
      </c>
    </row>
    <row r="20" spans="8:9" ht="16" thickBot="1">
      <c r="H20" s="36" t="s">
        <v>44</v>
      </c>
      <c r="I20" s="37">
        <v>100</v>
      </c>
    </row>
  </sheetData>
  <sheetProtection algorithmName="SHA-512" hashValue="HDtMfIdvFZZkCgOR+m0+DCrjjey1TpDsvwQSQmhTg11QjLR3cm8SgKVCDi0VJIyi0OGesXYwcIi+nfXoytpK/w==" saltValue="uY8fbq9m8Eooow4YG6SgXw==" spinCount="100000" sheet="1" objects="1" scenarios="1"/>
  <mergeCells count="6">
    <mergeCell ref="H14:I14"/>
    <mergeCell ref="A1:I1"/>
    <mergeCell ref="A2:D2"/>
    <mergeCell ref="A3:D3"/>
    <mergeCell ref="A4:D4"/>
    <mergeCell ref="A6:F6"/>
  </mergeCells>
  <conditionalFormatting sqref="A8:I8 A9:G9 A10:I10 A11:G11">
    <cfRule type="expression" dxfId="39" priority="42">
      <formula>$I8=100%</formula>
    </cfRule>
    <cfRule type="expression" dxfId="38" priority="41">
      <formula>$I8="N/A"</formula>
    </cfRule>
    <cfRule type="expression" dxfId="37" priority="40">
      <formula>$H8="Echue"</formula>
    </cfRule>
    <cfRule type="expression" dxfId="36" priority="39">
      <formula>$I8="Appliqué"</formula>
    </cfRule>
  </conditionalFormatting>
  <conditionalFormatting sqref="A8:I8 A10:I10 A11:G11 A9:G9">
    <cfRule type="expression" dxfId="35" priority="38">
      <formula>$I8="N/A"</formula>
    </cfRule>
  </conditionalFormatting>
  <conditionalFormatting sqref="A8:I8">
    <cfRule type="expression" dxfId="34" priority="37">
      <formula>$H8="Echue"</formula>
    </cfRule>
    <cfRule type="expression" dxfId="33" priority="36">
      <formula>$I8="Appliqué"</formula>
    </cfRule>
  </conditionalFormatting>
  <conditionalFormatting sqref="A9:I9">
    <cfRule type="expression" dxfId="32" priority="11">
      <formula>$I9="Appliqué"</formula>
    </cfRule>
    <cfRule type="expression" dxfId="31" priority="12">
      <formula>$H9="Echue"</formula>
    </cfRule>
  </conditionalFormatting>
  <conditionalFormatting sqref="A10:I11">
    <cfRule type="expression" dxfId="30" priority="26">
      <formula>$H10="Echue"</formula>
    </cfRule>
    <cfRule type="expression" dxfId="29" priority="25">
      <formula>$I10="Appliqué"</formula>
    </cfRule>
  </conditionalFormatting>
  <conditionalFormatting sqref="C8">
    <cfRule type="expression" dxfId="28" priority="35">
      <formula>$I8=100%</formula>
    </cfRule>
    <cfRule type="expression" dxfId="27" priority="34">
      <formula>$I8="N/A"</formula>
    </cfRule>
    <cfRule type="expression" dxfId="26" priority="33">
      <formula>$H8="Echue"</formula>
    </cfRule>
    <cfRule type="expression" dxfId="25" priority="32">
      <formula>$I8="Appliqué"</formula>
    </cfRule>
    <cfRule type="expression" dxfId="24" priority="31">
      <formula>$I8="N/A"</formula>
    </cfRule>
    <cfRule type="expression" dxfId="23" priority="30">
      <formula>$H8="Echue"</formula>
    </cfRule>
    <cfRule type="expression" dxfId="22" priority="29">
      <formula>$I8="Appliqué"</formula>
    </cfRule>
  </conditionalFormatting>
  <conditionalFormatting sqref="D10:E11">
    <cfRule type="expression" dxfId="21" priority="1">
      <formula>$I10="Appliqué"</formula>
    </cfRule>
    <cfRule type="expression" dxfId="20" priority="7">
      <formula>$I10=100%</formula>
    </cfRule>
    <cfRule type="expression" dxfId="19" priority="6">
      <formula>$I10="N/A"</formula>
    </cfRule>
    <cfRule type="expression" dxfId="18" priority="5">
      <formula>$H10="Echue"</formula>
    </cfRule>
    <cfRule type="expression" dxfId="17" priority="4">
      <formula>$I10="Appliqué"</formula>
    </cfRule>
    <cfRule type="expression" dxfId="16" priority="3">
      <formula>$I10="N/A"</formula>
    </cfRule>
    <cfRule type="expression" dxfId="15" priority="2">
      <formula>$H10="Echue"</formula>
    </cfRule>
  </conditionalFormatting>
  <conditionalFormatting sqref="H9">
    <cfRule type="expression" dxfId="14" priority="14">
      <formula>$I9=100%</formula>
    </cfRule>
    <cfRule type="expression" dxfId="13" priority="13">
      <formula>$I9="N/A"</formula>
    </cfRule>
    <cfRule type="expression" dxfId="12" priority="10">
      <formula>$I9="N/A"</formula>
    </cfRule>
    <cfRule type="expression" dxfId="11" priority="9">
      <formula>$H9="Echue"</formula>
    </cfRule>
    <cfRule type="expression" dxfId="10" priority="8">
      <formula>$I9="Appliqué"</formula>
    </cfRule>
  </conditionalFormatting>
  <conditionalFormatting sqref="H11:I11">
    <cfRule type="expression" dxfId="9" priority="22">
      <formula>$I11="Appliqué"</formula>
    </cfRule>
    <cfRule type="expression" dxfId="8" priority="24">
      <formula>$I11="N/A"</formula>
    </cfRule>
    <cfRule type="expression" dxfId="7" priority="27">
      <formula>$I11="N/A"</formula>
    </cfRule>
    <cfRule type="expression" dxfId="6" priority="28">
      <formula>$I11=100%</formula>
    </cfRule>
    <cfRule type="expression" dxfId="5" priority="23">
      <formula>$H11="Echue"</formula>
    </cfRule>
  </conditionalFormatting>
  <conditionalFormatting sqref="I9">
    <cfRule type="expression" dxfId="4" priority="21">
      <formula>$I9=100%</formula>
    </cfRule>
    <cfRule type="expression" dxfId="3" priority="20">
      <formula>$I9="N/A"</formula>
    </cfRule>
    <cfRule type="expression" dxfId="2" priority="19">
      <formula>$H9="Echue"</formula>
    </cfRule>
    <cfRule type="expression" dxfId="1" priority="18">
      <formula>$I9="Appliqué"</formula>
    </cfRule>
    <cfRule type="expression" dxfId="0" priority="17">
      <formula>$I9="N/A"</formula>
    </cfRule>
  </conditionalFormatting>
  <pageMargins left="0.70866141732283472" right="0.70866141732283472" top="0.74803149606299213" bottom="0.74803149606299213" header="0.31496062992125984" footer="0.31496062992125984"/>
  <pageSetup paperSize="9" scale="3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5"/>
  <dimension ref="A1:I13"/>
  <sheetViews>
    <sheetView showGridLines="0" workbookViewId="0">
      <selection activeCell="F23" sqref="F23"/>
    </sheetView>
  </sheetViews>
  <sheetFormatPr baseColWidth="10" defaultRowHeight="15"/>
  <cols>
    <col min="1" max="1" width="18.33203125" customWidth="1"/>
    <col min="2" max="2" width="23.83203125" customWidth="1"/>
    <col min="3" max="3" width="6.5" customWidth="1"/>
    <col min="4" max="4" width="10.33203125" customWidth="1"/>
    <col min="5" max="5" width="5.33203125" customWidth="1"/>
    <col min="6" max="6" width="10.5" customWidth="1"/>
    <col min="7" max="7" width="8.1640625" hidden="1" customWidth="1"/>
    <col min="8" max="8" width="18.33203125" bestFit="1" customWidth="1"/>
    <col min="9" max="9" width="12.5" bestFit="1" customWidth="1"/>
  </cols>
  <sheetData>
    <row r="1" spans="1:9" s="5" customFormat="1" ht="32.25" customHeight="1">
      <c r="A1" s="119" t="s">
        <v>7</v>
      </c>
      <c r="B1" s="120"/>
      <c r="C1" s="120"/>
      <c r="D1" s="120"/>
      <c r="E1" s="120"/>
      <c r="F1" s="120"/>
      <c r="G1" s="9"/>
    </row>
    <row r="2" spans="1:9" s="5" customFormat="1">
      <c r="A2" s="6" t="s">
        <v>10</v>
      </c>
      <c r="B2" s="121" t="s">
        <v>18</v>
      </c>
      <c r="C2" s="121"/>
      <c r="D2" s="121"/>
      <c r="E2" s="7"/>
      <c r="F2" s="7"/>
      <c r="G2" s="7"/>
      <c r="H2" s="8"/>
      <c r="I2" s="6"/>
    </row>
    <row r="3" spans="1:9" s="5" customFormat="1">
      <c r="A3" s="6" t="s">
        <v>9</v>
      </c>
      <c r="B3" s="122" t="s">
        <v>19</v>
      </c>
      <c r="C3" s="122"/>
      <c r="D3" s="122"/>
      <c r="E3" s="7"/>
      <c r="F3" s="7"/>
      <c r="G3" s="7"/>
      <c r="H3" s="8"/>
      <c r="I3" s="6"/>
    </row>
    <row r="4" spans="1:9" s="5" customFormat="1" ht="30">
      <c r="A4" s="6" t="s">
        <v>8</v>
      </c>
      <c r="B4" s="123">
        <v>42753</v>
      </c>
      <c r="C4" s="123"/>
      <c r="D4" s="123"/>
      <c r="E4" s="7"/>
      <c r="F4" s="7"/>
      <c r="G4" s="7"/>
      <c r="H4" s="8"/>
      <c r="I4" s="6"/>
    </row>
    <row r="5" spans="1:9" ht="16" thickBot="1"/>
    <row r="6" spans="1:9" hidden="1">
      <c r="B6" s="10" t="s">
        <v>22</v>
      </c>
    </row>
    <row r="7" spans="1:9" ht="16" thickBot="1">
      <c r="B7" s="22" t="s">
        <v>17</v>
      </c>
      <c r="C7" s="23"/>
      <c r="D7" s="28" t="s">
        <v>20</v>
      </c>
      <c r="E7" s="23"/>
      <c r="F7" s="12" t="s">
        <v>23</v>
      </c>
      <c r="G7" s="12" t="s">
        <v>25</v>
      </c>
    </row>
    <row r="8" spans="1:9" ht="16" thickBot="1">
      <c r="A8" s="29" t="s">
        <v>27</v>
      </c>
      <c r="B8" s="22" t="s">
        <v>24</v>
      </c>
      <c r="C8" s="23" t="s">
        <v>26</v>
      </c>
      <c r="D8" s="28" t="s">
        <v>24</v>
      </c>
      <c r="E8" s="23" t="s">
        <v>26</v>
      </c>
      <c r="F8" s="17"/>
      <c r="G8" s="17"/>
    </row>
    <row r="9" spans="1:9">
      <c r="A9" s="30" t="s">
        <v>12</v>
      </c>
      <c r="B9" s="24">
        <v>14</v>
      </c>
      <c r="C9" s="25">
        <v>0.93333333333333335</v>
      </c>
      <c r="D9" s="26">
        <v>1</v>
      </c>
      <c r="E9" s="25">
        <v>6.6666666666666666E-2</v>
      </c>
      <c r="F9" s="12">
        <v>15</v>
      </c>
      <c r="G9" s="11">
        <v>1</v>
      </c>
    </row>
    <row r="10" spans="1:9">
      <c r="A10" s="19" t="s">
        <v>14</v>
      </c>
      <c r="B10" s="13">
        <v>18</v>
      </c>
      <c r="C10" s="14">
        <v>1</v>
      </c>
      <c r="D10" s="20"/>
      <c r="E10" s="14">
        <v>0</v>
      </c>
      <c r="F10" s="21">
        <v>18</v>
      </c>
      <c r="G10" s="11">
        <v>1</v>
      </c>
    </row>
    <row r="11" spans="1:9">
      <c r="A11" s="19" t="s">
        <v>15</v>
      </c>
      <c r="B11" s="13">
        <v>17</v>
      </c>
      <c r="C11" s="14">
        <v>1</v>
      </c>
      <c r="D11" s="20"/>
      <c r="E11" s="14">
        <v>0</v>
      </c>
      <c r="F11" s="21">
        <v>17</v>
      </c>
      <c r="G11" s="11">
        <v>1</v>
      </c>
    </row>
    <row r="12" spans="1:9" ht="16" thickBot="1">
      <c r="A12" s="31" t="s">
        <v>13</v>
      </c>
      <c r="B12" s="15">
        <v>1</v>
      </c>
      <c r="C12" s="16">
        <v>1</v>
      </c>
      <c r="D12" s="27"/>
      <c r="E12" s="16">
        <v>0</v>
      </c>
      <c r="F12" s="17">
        <v>1</v>
      </c>
      <c r="G12" s="11">
        <v>1</v>
      </c>
    </row>
    <row r="13" spans="1:9" ht="16" thickBot="1">
      <c r="A13" s="32" t="s">
        <v>21</v>
      </c>
      <c r="B13" s="33">
        <v>50</v>
      </c>
      <c r="C13" s="18">
        <v>0.98039215686274506</v>
      </c>
      <c r="D13" s="33">
        <v>1</v>
      </c>
      <c r="E13" s="18">
        <v>1.9607843137254902E-2</v>
      </c>
      <c r="F13" s="23">
        <v>51</v>
      </c>
      <c r="G13" s="11">
        <v>1</v>
      </c>
    </row>
  </sheetData>
  <mergeCells count="4">
    <mergeCell ref="A1:F1"/>
    <mergeCell ref="B2:D2"/>
    <mergeCell ref="B3:D3"/>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7</vt:i4>
      </vt:variant>
      <vt:variant>
        <vt:lpstr>Plages nommées</vt:lpstr>
      </vt:variant>
      <vt:variant>
        <vt:i4>4</vt:i4>
      </vt:variant>
    </vt:vector>
  </HeadingPairs>
  <TitlesOfParts>
    <vt:vector size="11" baseType="lpstr">
      <vt:lpstr>KPI Globale</vt:lpstr>
      <vt:lpstr>PLAN D'ACTION 2026</vt:lpstr>
      <vt:lpstr>BUDGET</vt:lpstr>
      <vt:lpstr>1. Janvier 2021 (2)</vt:lpstr>
      <vt:lpstr>Plan d'Améliorat° Process (PAP)</vt:lpstr>
      <vt:lpstr>RECAP indicateurs</vt:lpstr>
      <vt:lpstr>Synthèse PAP</vt:lpstr>
      <vt:lpstr>'1. Janvier 2021 (2)'!_GoBack</vt:lpstr>
      <vt:lpstr>'RECAP indicateurs'!_GoBack</vt:lpstr>
      <vt:lpstr>'Plan d''Améliorat° Process (PAP)'!Impression_des_titres</vt:lpstr>
      <vt:lpstr>'Plan d''Améliorat° Process (PAP)'!Zone_d_impression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hace</dc:creator>
  <cp:lastModifiedBy>Henri-Mill Fetchouang</cp:lastModifiedBy>
  <cp:lastPrinted>2022-04-13T14:13:39Z</cp:lastPrinted>
  <dcterms:created xsi:type="dcterms:W3CDTF">2016-12-19T15:27:05Z</dcterms:created>
  <dcterms:modified xsi:type="dcterms:W3CDTF">2026-06-10T11:23:19Z</dcterms:modified>
</cp:coreProperties>
</file>